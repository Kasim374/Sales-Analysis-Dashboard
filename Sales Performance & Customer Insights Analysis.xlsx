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D:\excel\"/>
    </mc:Choice>
  </mc:AlternateContent>
  <xr:revisionPtr revIDLastSave="0" documentId="13_ncr:1_{609CF6ED-F3E9-4318-AA05-24D51EA749CA}" xr6:coauthVersionLast="47" xr6:coauthVersionMax="47" xr10:uidLastSave="{00000000-0000-0000-0000-000000000000}"/>
  <bookViews>
    <workbookView xWindow="-120" yWindow="-120" windowWidth="20730" windowHeight="11160" xr2:uid="{5C43C0D8-882A-4AD1-9361-1103A03E61F3}"/>
  </bookViews>
  <sheets>
    <sheet name="INSIGHTS &amp; STORYTELLING" sheetId="14" r:id="rId1"/>
    <sheet name="SALES DASHBOARD" sheetId="13" r:id="rId2"/>
    <sheet name="RAW DATA" sheetId="1" r:id="rId3"/>
    <sheet name="SALES ANALYSIS" sheetId="2" r:id="rId4"/>
    <sheet name="REGRESSION ANALYSIS" sheetId="7" r:id="rId5"/>
    <sheet name="PRODUCTS &amp; CUSTOMERS" sheetId="8" r:id="rId6"/>
    <sheet name="PIVOT TABLE" sheetId="11" r:id="rId7"/>
  </sheets>
  <definedNames>
    <definedName name="NativeTimeline_Date">#N/A</definedName>
    <definedName name="Slicer_month">#N/A</definedName>
    <definedName name="Slicer_Payment_Method">#N/A</definedName>
    <definedName name="Slicer_Region">#N/A</definedName>
  </definedNames>
  <calcPr calcId="191029" iterate="1"/>
  <pivotCaches>
    <pivotCache cacheId="0" r:id="rId8"/>
    <pivotCache cacheId="1" r:id="rId9"/>
    <pivotCache cacheId="2" r:id="rId10"/>
    <pivotCache cacheId="3" r:id="rId11"/>
  </pivotCaches>
  <extLs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4" r:id="rId15"/>
      </x15:timelineCachePivotCaches>
    </ext>
    <ext xmlns:x15="http://schemas.microsoft.com/office/spreadsheetml/2010/11/main" uri="{D0CA8CA8-9F24-4464-BF8E-62219DCF47F9}">
      <x15:timelineCacheRefs>
        <x15:timelineCacheRef r:id="rId16"/>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S6" i="1" l="1"/>
  <c r="S4"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 i="1"/>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 i="1"/>
  <c r="K2" i="8"/>
  <c r="K3" i="8"/>
  <c r="K4" i="8"/>
  <c r="K5" i="8"/>
  <c r="K6" i="8"/>
  <c r="K7" i="8"/>
  <c r="K8" i="8"/>
  <c r="K9" i="8"/>
  <c r="K10" i="8"/>
  <c r="K11" i="8"/>
  <c r="K12" i="8"/>
  <c r="K13" i="8"/>
  <c r="K14" i="8"/>
  <c r="K15" i="8"/>
  <c r="K16" i="8"/>
  <c r="K17" i="8"/>
  <c r="K18" i="8"/>
  <c r="K19" i="8"/>
  <c r="K20" i="8"/>
  <c r="K21" i="8"/>
  <c r="K22" i="8"/>
  <c r="K23" i="8"/>
  <c r="K24" i="8"/>
  <c r="K25" i="8"/>
  <c r="K26" i="8"/>
  <c r="K27" i="8"/>
  <c r="K28" i="8"/>
  <c r="K29" i="8"/>
  <c r="K30" i="8"/>
  <c r="K31" i="8"/>
  <c r="K32" i="8"/>
  <c r="K33" i="8"/>
  <c r="K34" i="8"/>
  <c r="K35" i="8"/>
  <c r="K36" i="8"/>
  <c r="K37" i="8"/>
  <c r="K38" i="8"/>
  <c r="K39" i="8"/>
  <c r="K40" i="8"/>
  <c r="K41" i="8"/>
  <c r="K42" i="8"/>
  <c r="K43" i="8"/>
  <c r="K44" i="8"/>
  <c r="K45" i="8"/>
  <c r="K46" i="8"/>
  <c r="K47" i="8"/>
  <c r="K48" i="8"/>
  <c r="K49" i="8"/>
  <c r="K50" i="8"/>
  <c r="K51" i="8"/>
  <c r="K52" i="8"/>
  <c r="K53" i="8"/>
  <c r="K54" i="8"/>
  <c r="K55" i="8"/>
  <c r="K56" i="8"/>
  <c r="K57" i="8"/>
  <c r="K58" i="8"/>
  <c r="K59" i="8"/>
  <c r="K60" i="8"/>
  <c r="K61" i="8"/>
  <c r="K62" i="8"/>
  <c r="K63" i="8"/>
  <c r="K64" i="8"/>
  <c r="K65" i="8"/>
  <c r="K66" i="8"/>
  <c r="K67" i="8"/>
  <c r="K68" i="8"/>
  <c r="K69" i="8"/>
  <c r="K70" i="8"/>
  <c r="K71" i="8"/>
  <c r="K72" i="8"/>
  <c r="K73" i="8"/>
  <c r="K74" i="8"/>
  <c r="K75" i="8"/>
  <c r="K76" i="8"/>
  <c r="K77" i="8"/>
  <c r="K78" i="8"/>
  <c r="K79" i="8"/>
  <c r="K80" i="8"/>
  <c r="K81" i="8"/>
  <c r="K82" i="8"/>
  <c r="K83" i="8"/>
  <c r="K84" i="8"/>
  <c r="K85" i="8"/>
  <c r="K86" i="8"/>
  <c r="K87" i="8"/>
  <c r="K88" i="8"/>
  <c r="K89" i="8"/>
  <c r="K90" i="8"/>
  <c r="K91" i="8"/>
  <c r="K92" i="8"/>
  <c r="K93" i="8"/>
  <c r="K94" i="8"/>
  <c r="K95" i="8"/>
  <c r="K96" i="8"/>
  <c r="K97" i="8"/>
  <c r="K98" i="8"/>
  <c r="K99" i="8"/>
  <c r="K100" i="8"/>
  <c r="K101" i="8"/>
  <c r="K102" i="8"/>
  <c r="K103" i="8"/>
  <c r="K104" i="8"/>
  <c r="K105" i="8"/>
  <c r="K106" i="8"/>
  <c r="K107" i="8"/>
  <c r="K108" i="8"/>
  <c r="K109" i="8"/>
  <c r="K110" i="8"/>
  <c r="K111" i="8"/>
  <c r="K112" i="8"/>
  <c r="K113" i="8"/>
  <c r="K114" i="8"/>
  <c r="K115" i="8"/>
  <c r="K116" i="8"/>
  <c r="K117" i="8"/>
  <c r="K118" i="8"/>
  <c r="K119" i="8"/>
  <c r="K120" i="8"/>
  <c r="K121" i="8"/>
  <c r="K122" i="8"/>
  <c r="K123" i="8"/>
  <c r="K124" i="8"/>
  <c r="K125" i="8"/>
  <c r="K126" i="8"/>
  <c r="K127" i="8"/>
  <c r="K128" i="8"/>
  <c r="K129" i="8"/>
  <c r="K130" i="8"/>
  <c r="K131" i="8"/>
  <c r="K132" i="8"/>
  <c r="K133" i="8"/>
  <c r="K134" i="8"/>
  <c r="K135" i="8"/>
  <c r="K136" i="8"/>
  <c r="K137" i="8"/>
  <c r="K138" i="8"/>
  <c r="K139" i="8"/>
  <c r="K140" i="8"/>
  <c r="K141" i="8"/>
  <c r="K142" i="8"/>
  <c r="K143" i="8"/>
  <c r="K144" i="8"/>
  <c r="K145" i="8"/>
  <c r="K146" i="8"/>
  <c r="K147" i="8"/>
  <c r="K148" i="8"/>
  <c r="K149" i="8"/>
  <c r="K150" i="8"/>
  <c r="K151" i="8"/>
  <c r="K152" i="8"/>
  <c r="K153" i="8"/>
  <c r="K154" i="8"/>
  <c r="K155" i="8"/>
  <c r="K156" i="8"/>
  <c r="K157" i="8"/>
  <c r="K158" i="8"/>
  <c r="K159" i="8"/>
  <c r="K160" i="8"/>
  <c r="K161" i="8"/>
  <c r="K162" i="8"/>
  <c r="K163" i="8"/>
  <c r="K164" i="8"/>
  <c r="K165" i="8"/>
  <c r="K166" i="8"/>
  <c r="K167" i="8"/>
  <c r="K168" i="8"/>
  <c r="K169" i="8"/>
  <c r="K170" i="8"/>
  <c r="K171" i="8"/>
  <c r="K172" i="8"/>
  <c r="K173" i="8"/>
  <c r="K174" i="8"/>
  <c r="K175" i="8"/>
  <c r="K176" i="8"/>
  <c r="K177" i="8"/>
  <c r="K178" i="8"/>
  <c r="K179" i="8"/>
  <c r="K180" i="8"/>
  <c r="K181" i="8"/>
  <c r="K182" i="8"/>
  <c r="K183" i="8"/>
  <c r="K184" i="8"/>
  <c r="K185" i="8"/>
  <c r="K186" i="8"/>
  <c r="K187" i="8"/>
  <c r="K188" i="8"/>
  <c r="K189" i="8"/>
  <c r="K190" i="8"/>
  <c r="K191" i="8"/>
  <c r="K192" i="8"/>
  <c r="K193" i="8"/>
  <c r="K194" i="8"/>
  <c r="K195" i="8"/>
  <c r="K196" i="8"/>
  <c r="K197" i="8"/>
  <c r="K198" i="8"/>
  <c r="K199" i="8"/>
  <c r="K200" i="8"/>
  <c r="K201" i="8"/>
  <c r="K202" i="8"/>
  <c r="K203" i="8"/>
  <c r="K204" i="8"/>
  <c r="K205" i="8"/>
  <c r="K206" i="8"/>
  <c r="K207" i="8"/>
  <c r="K208" i="8"/>
  <c r="K209" i="8"/>
  <c r="K210" i="8"/>
  <c r="K211" i="8"/>
  <c r="K212" i="8"/>
  <c r="K213" i="8"/>
  <c r="K214" i="8"/>
  <c r="K215" i="8"/>
  <c r="K216" i="8"/>
  <c r="K217" i="8"/>
  <c r="K218" i="8"/>
  <c r="K219" i="8"/>
  <c r="K220" i="8"/>
  <c r="K221" i="8"/>
  <c r="K222" i="8"/>
  <c r="K223" i="8"/>
  <c r="K224" i="8"/>
  <c r="K225" i="8"/>
  <c r="K226" i="8"/>
  <c r="K227" i="8"/>
  <c r="K228" i="8"/>
  <c r="K229" i="8"/>
  <c r="K230" i="8"/>
  <c r="K231" i="8"/>
  <c r="K232" i="8"/>
  <c r="K233" i="8"/>
  <c r="K234" i="8"/>
  <c r="K235" i="8"/>
  <c r="K236" i="8"/>
  <c r="K237" i="8"/>
  <c r="K238" i="8"/>
  <c r="K239" i="8"/>
  <c r="K240" i="8"/>
  <c r="K241" i="8"/>
  <c r="K242" i="8"/>
  <c r="K243" i="8"/>
  <c r="K244" i="8"/>
  <c r="K245" i="8"/>
  <c r="K246" i="8"/>
  <c r="K247" i="8"/>
  <c r="K248" i="8"/>
  <c r="K249" i="8"/>
  <c r="K250" i="8"/>
  <c r="K251" i="8"/>
  <c r="G3" i="8"/>
  <c r="G4" i="8"/>
  <c r="G5" i="8"/>
  <c r="G6" i="8"/>
  <c r="G7" i="8"/>
  <c r="G8" i="8"/>
  <c r="G9" i="8"/>
  <c r="G10" i="8"/>
  <c r="G11" i="8"/>
  <c r="G12" i="8"/>
  <c r="G13" i="8"/>
  <c r="G14" i="8"/>
  <c r="G15" i="8"/>
  <c r="G16" i="8"/>
  <c r="G17" i="8"/>
  <c r="G18" i="8"/>
  <c r="G19" i="8"/>
  <c r="G20" i="8"/>
  <c r="G21" i="8"/>
  <c r="G22" i="8"/>
  <c r="G23" i="8"/>
  <c r="G24" i="8"/>
  <c r="G25" i="8"/>
  <c r="G26" i="8"/>
  <c r="G27" i="8"/>
  <c r="G28" i="8"/>
  <c r="G29" i="8"/>
  <c r="G30" i="8"/>
  <c r="G31" i="8"/>
  <c r="G32" i="8"/>
  <c r="G33" i="8"/>
  <c r="G34" i="8"/>
  <c r="G35" i="8"/>
  <c r="G36" i="8"/>
  <c r="G37" i="8"/>
  <c r="G38" i="8"/>
  <c r="G39" i="8"/>
  <c r="G40" i="8"/>
  <c r="G41" i="8"/>
  <c r="G42" i="8"/>
  <c r="G43" i="8"/>
  <c r="G44" i="8"/>
  <c r="G45" i="8"/>
  <c r="G46" i="8"/>
  <c r="G47" i="8"/>
  <c r="G48" i="8"/>
  <c r="G49" i="8"/>
  <c r="G50" i="8"/>
  <c r="G51" i="8"/>
  <c r="G52" i="8"/>
  <c r="G53" i="8"/>
  <c r="G54" i="8"/>
  <c r="G55" i="8"/>
  <c r="G56" i="8"/>
  <c r="G57" i="8"/>
  <c r="G58" i="8"/>
  <c r="G59" i="8"/>
  <c r="G60" i="8"/>
  <c r="G61" i="8"/>
  <c r="G62" i="8"/>
  <c r="G63" i="8"/>
  <c r="G64" i="8"/>
  <c r="G65" i="8"/>
  <c r="G66" i="8"/>
  <c r="G67" i="8"/>
  <c r="G68" i="8"/>
  <c r="G69" i="8"/>
  <c r="G70" i="8"/>
  <c r="G71" i="8"/>
  <c r="G72" i="8"/>
  <c r="G73" i="8"/>
  <c r="G74" i="8"/>
  <c r="G75" i="8"/>
  <c r="G76" i="8"/>
  <c r="G77" i="8"/>
  <c r="G78" i="8"/>
  <c r="G79" i="8"/>
  <c r="G80" i="8"/>
  <c r="G81" i="8"/>
  <c r="G82" i="8"/>
  <c r="G83" i="8"/>
  <c r="G84" i="8"/>
  <c r="G85" i="8"/>
  <c r="G86" i="8"/>
  <c r="G87" i="8"/>
  <c r="G88" i="8"/>
  <c r="G89" i="8"/>
  <c r="G90" i="8"/>
  <c r="G91" i="8"/>
  <c r="G92" i="8"/>
  <c r="G93" i="8"/>
  <c r="G94" i="8"/>
  <c r="G95" i="8"/>
  <c r="G96" i="8"/>
  <c r="G97" i="8"/>
  <c r="G98" i="8"/>
  <c r="G99" i="8"/>
  <c r="G100" i="8"/>
  <c r="G101" i="8"/>
  <c r="G102" i="8"/>
  <c r="G103" i="8"/>
  <c r="G104" i="8"/>
  <c r="G105" i="8"/>
  <c r="G106" i="8"/>
  <c r="G107" i="8"/>
  <c r="G108" i="8"/>
  <c r="G109" i="8"/>
  <c r="G110" i="8"/>
  <c r="G111" i="8"/>
  <c r="G112" i="8"/>
  <c r="G113" i="8"/>
  <c r="G114" i="8"/>
  <c r="G115" i="8"/>
  <c r="G116" i="8"/>
  <c r="G117" i="8"/>
  <c r="G118" i="8"/>
  <c r="G119" i="8"/>
  <c r="G120" i="8"/>
  <c r="G121" i="8"/>
  <c r="G122" i="8"/>
  <c r="G123" i="8"/>
  <c r="G124" i="8"/>
  <c r="G125" i="8"/>
  <c r="G126" i="8"/>
  <c r="G127" i="8"/>
  <c r="G128" i="8"/>
  <c r="G129" i="8"/>
  <c r="G130" i="8"/>
  <c r="G131" i="8"/>
  <c r="G132" i="8"/>
  <c r="G133" i="8"/>
  <c r="G134" i="8"/>
  <c r="G135" i="8"/>
  <c r="G136" i="8"/>
  <c r="G137" i="8"/>
  <c r="G138" i="8"/>
  <c r="G139" i="8"/>
  <c r="G140" i="8"/>
  <c r="G141" i="8"/>
  <c r="G142" i="8"/>
  <c r="G143" i="8"/>
  <c r="G144" i="8"/>
  <c r="G145" i="8"/>
  <c r="G146" i="8"/>
  <c r="G147" i="8"/>
  <c r="G148" i="8"/>
  <c r="G149" i="8"/>
  <c r="G150" i="8"/>
  <c r="G151" i="8"/>
  <c r="G152" i="8"/>
  <c r="G153" i="8"/>
  <c r="G154" i="8"/>
  <c r="G155" i="8"/>
  <c r="G156" i="8"/>
  <c r="G157" i="8"/>
  <c r="G158" i="8"/>
  <c r="G159" i="8"/>
  <c r="G160" i="8"/>
  <c r="G161" i="8"/>
  <c r="G162" i="8"/>
  <c r="G163" i="8"/>
  <c r="G164" i="8"/>
  <c r="G165" i="8"/>
  <c r="G166" i="8"/>
  <c r="G167" i="8"/>
  <c r="G168" i="8"/>
  <c r="G169" i="8"/>
  <c r="G170" i="8"/>
  <c r="G171" i="8"/>
  <c r="G172" i="8"/>
  <c r="G173" i="8"/>
  <c r="G174" i="8"/>
  <c r="G175" i="8"/>
  <c r="G176" i="8"/>
  <c r="G177" i="8"/>
  <c r="G178" i="8"/>
  <c r="G179" i="8"/>
  <c r="G180" i="8"/>
  <c r="G181" i="8"/>
  <c r="G182" i="8"/>
  <c r="G183" i="8"/>
  <c r="G184" i="8"/>
  <c r="G185" i="8"/>
  <c r="G186" i="8"/>
  <c r="G187" i="8"/>
  <c r="G188" i="8"/>
  <c r="G189" i="8"/>
  <c r="G190" i="8"/>
  <c r="G191" i="8"/>
  <c r="G192" i="8"/>
  <c r="G193" i="8"/>
  <c r="G194" i="8"/>
  <c r="G195" i="8"/>
  <c r="G196" i="8"/>
  <c r="G197" i="8"/>
  <c r="G198" i="8"/>
  <c r="G199" i="8"/>
  <c r="G200" i="8"/>
  <c r="G201" i="8"/>
  <c r="G202" i="8"/>
  <c r="G203" i="8"/>
  <c r="G204" i="8"/>
  <c r="G205" i="8"/>
  <c r="G206" i="8"/>
  <c r="G207" i="8"/>
  <c r="G208" i="8"/>
  <c r="G209" i="8"/>
  <c r="G210" i="8"/>
  <c r="G211" i="8"/>
  <c r="G212" i="8"/>
  <c r="G213" i="8"/>
  <c r="G214" i="8"/>
  <c r="G215" i="8"/>
  <c r="G216" i="8"/>
  <c r="G217" i="8"/>
  <c r="G218" i="8"/>
  <c r="G219" i="8"/>
  <c r="G220" i="8"/>
  <c r="G221" i="8"/>
  <c r="G222" i="8"/>
  <c r="G223" i="8"/>
  <c r="G224" i="8"/>
  <c r="G225" i="8"/>
  <c r="G226" i="8"/>
  <c r="G227" i="8"/>
  <c r="G228" i="8"/>
  <c r="G229" i="8"/>
  <c r="G230" i="8"/>
  <c r="G231" i="8"/>
  <c r="G232" i="8"/>
  <c r="G233" i="8"/>
  <c r="G234" i="8"/>
  <c r="G235" i="8"/>
  <c r="G236" i="8"/>
  <c r="G237" i="8"/>
  <c r="G238" i="8"/>
  <c r="G239" i="8"/>
  <c r="G240" i="8"/>
  <c r="G241" i="8"/>
  <c r="G242" i="8"/>
  <c r="G243" i="8"/>
  <c r="G244" i="8"/>
  <c r="G245" i="8"/>
  <c r="G246" i="8"/>
  <c r="G247" i="8"/>
  <c r="G248" i="8"/>
  <c r="G249" i="8"/>
  <c r="G250" i="8"/>
  <c r="G251" i="8"/>
  <c r="G2" i="8"/>
  <c r="D7" i="8"/>
  <c r="D8" i="8"/>
  <c r="D9" i="8"/>
  <c r="D10" i="8"/>
  <c r="D11" i="8"/>
  <c r="D12" i="8"/>
  <c r="D13" i="8"/>
  <c r="D14" i="8"/>
  <c r="D15" i="8"/>
  <c r="D16" i="8"/>
  <c r="D17" i="8"/>
  <c r="D18" i="8"/>
  <c r="D19" i="8"/>
  <c r="D20" i="8"/>
  <c r="D21" i="8"/>
  <c r="D22" i="8"/>
  <c r="D23" i="8"/>
  <c r="D24" i="8"/>
  <c r="D25" i="8"/>
  <c r="D26" i="8"/>
  <c r="D27" i="8"/>
  <c r="D28" i="8"/>
  <c r="D29" i="8"/>
  <c r="D30" i="8"/>
  <c r="D31" i="8"/>
  <c r="D32" i="8"/>
  <c r="D33" i="8"/>
  <c r="D34" i="8"/>
  <c r="D35" i="8"/>
  <c r="D36" i="8"/>
  <c r="D37" i="8"/>
  <c r="D38" i="8"/>
  <c r="D39" i="8"/>
  <c r="D40" i="8"/>
  <c r="D41" i="8"/>
  <c r="D42" i="8"/>
  <c r="D43" i="8"/>
  <c r="D44" i="8"/>
  <c r="D45" i="8"/>
  <c r="D46" i="8"/>
  <c r="D47" i="8"/>
  <c r="D48" i="8"/>
  <c r="D49" i="8"/>
  <c r="D50" i="8"/>
  <c r="D51" i="8"/>
  <c r="D52" i="8"/>
  <c r="D53" i="8"/>
  <c r="D54" i="8"/>
  <c r="D55" i="8"/>
  <c r="D56" i="8"/>
  <c r="D57" i="8"/>
  <c r="D58" i="8"/>
  <c r="D59" i="8"/>
  <c r="D60" i="8"/>
  <c r="D61" i="8"/>
  <c r="D62" i="8"/>
  <c r="D63" i="8"/>
  <c r="D64" i="8"/>
  <c r="D65" i="8"/>
  <c r="D66" i="8"/>
  <c r="D67" i="8"/>
  <c r="D68" i="8"/>
  <c r="D69" i="8"/>
  <c r="D70" i="8"/>
  <c r="D71" i="8"/>
  <c r="D72" i="8"/>
  <c r="D73" i="8"/>
  <c r="D74" i="8"/>
  <c r="D75" i="8"/>
  <c r="D76" i="8"/>
  <c r="D77" i="8"/>
  <c r="D78" i="8"/>
  <c r="D79" i="8"/>
  <c r="D80" i="8"/>
  <c r="D81" i="8"/>
  <c r="D82" i="8"/>
  <c r="D83" i="8"/>
  <c r="D84" i="8"/>
  <c r="D85" i="8"/>
  <c r="D86" i="8"/>
  <c r="D87" i="8"/>
  <c r="D88" i="8"/>
  <c r="D89" i="8"/>
  <c r="D90" i="8"/>
  <c r="D91" i="8"/>
  <c r="D92" i="8"/>
  <c r="D93" i="8"/>
  <c r="D94" i="8"/>
  <c r="D95" i="8"/>
  <c r="D96" i="8"/>
  <c r="D97" i="8"/>
  <c r="D98" i="8"/>
  <c r="D99" i="8"/>
  <c r="D100" i="8"/>
  <c r="D101" i="8"/>
  <c r="D102" i="8"/>
  <c r="D103" i="8"/>
  <c r="D104" i="8"/>
  <c r="D105" i="8"/>
  <c r="D106" i="8"/>
  <c r="D107" i="8"/>
  <c r="D108" i="8"/>
  <c r="D109" i="8"/>
  <c r="D110" i="8"/>
  <c r="D111" i="8"/>
  <c r="D112" i="8"/>
  <c r="D113" i="8"/>
  <c r="D114" i="8"/>
  <c r="D115" i="8"/>
  <c r="D116" i="8"/>
  <c r="D117" i="8"/>
  <c r="D118" i="8"/>
  <c r="D119" i="8"/>
  <c r="D120" i="8"/>
  <c r="D121" i="8"/>
  <c r="D122" i="8"/>
  <c r="D123" i="8"/>
  <c r="D124" i="8"/>
  <c r="D125" i="8"/>
  <c r="D126" i="8"/>
  <c r="D127" i="8"/>
  <c r="D128" i="8"/>
  <c r="D129" i="8"/>
  <c r="D130" i="8"/>
  <c r="D131" i="8"/>
  <c r="D132" i="8"/>
  <c r="D133" i="8"/>
  <c r="D134" i="8"/>
  <c r="D135" i="8"/>
  <c r="D136" i="8"/>
  <c r="D137" i="8"/>
  <c r="D138" i="8"/>
  <c r="D139" i="8"/>
  <c r="D140" i="8"/>
  <c r="D141" i="8"/>
  <c r="D142" i="8"/>
  <c r="D143" i="8"/>
  <c r="D144" i="8"/>
  <c r="D145" i="8"/>
  <c r="D146" i="8"/>
  <c r="D147" i="8"/>
  <c r="D148" i="8"/>
  <c r="D149" i="8"/>
  <c r="D150" i="8"/>
  <c r="D151" i="8"/>
  <c r="D152" i="8"/>
  <c r="D153" i="8"/>
  <c r="D154" i="8"/>
  <c r="D155" i="8"/>
  <c r="D156" i="8"/>
  <c r="D157" i="8"/>
  <c r="D158" i="8"/>
  <c r="D159" i="8"/>
  <c r="D160" i="8"/>
  <c r="D161" i="8"/>
  <c r="D162" i="8"/>
  <c r="D163" i="8"/>
  <c r="D164" i="8"/>
  <c r="D165" i="8"/>
  <c r="D166" i="8"/>
  <c r="D167" i="8"/>
  <c r="D168" i="8"/>
  <c r="D169" i="8"/>
  <c r="D170" i="8"/>
  <c r="D171" i="8"/>
  <c r="D172" i="8"/>
  <c r="D173" i="8"/>
  <c r="D174" i="8"/>
  <c r="D175" i="8"/>
  <c r="D176" i="8"/>
  <c r="D177" i="8"/>
  <c r="D178" i="8"/>
  <c r="D179" i="8"/>
  <c r="D180" i="8"/>
  <c r="D181" i="8"/>
  <c r="D182" i="8"/>
  <c r="D183" i="8"/>
  <c r="D184" i="8"/>
  <c r="D185" i="8"/>
  <c r="D186" i="8"/>
  <c r="D187" i="8"/>
  <c r="D188" i="8"/>
  <c r="D189" i="8"/>
  <c r="D190" i="8"/>
  <c r="D191" i="8"/>
  <c r="D192" i="8"/>
  <c r="D193" i="8"/>
  <c r="D194" i="8"/>
  <c r="D195" i="8"/>
  <c r="D196" i="8"/>
  <c r="D197" i="8"/>
  <c r="D198" i="8"/>
  <c r="D199" i="8"/>
  <c r="D200" i="8"/>
  <c r="D201" i="8"/>
  <c r="D202" i="8"/>
  <c r="D203" i="8"/>
  <c r="D204" i="8"/>
  <c r="D205" i="8"/>
  <c r="D206" i="8"/>
  <c r="D207" i="8"/>
  <c r="D208" i="8"/>
  <c r="D209" i="8"/>
  <c r="D210" i="8"/>
  <c r="D211" i="8"/>
  <c r="D212" i="8"/>
  <c r="D213" i="8"/>
  <c r="D214" i="8"/>
  <c r="D215" i="8"/>
  <c r="D216" i="8"/>
  <c r="D217" i="8"/>
  <c r="D218" i="8"/>
  <c r="D219" i="8"/>
  <c r="D220" i="8"/>
  <c r="D221" i="8"/>
  <c r="D222" i="8"/>
  <c r="D223" i="8"/>
  <c r="D224" i="8"/>
  <c r="D225" i="8"/>
  <c r="D226" i="8"/>
  <c r="D227" i="8"/>
  <c r="D228" i="8"/>
  <c r="D229" i="8"/>
  <c r="D230" i="8"/>
  <c r="D231" i="8"/>
  <c r="D232" i="8"/>
  <c r="D233" i="8"/>
  <c r="D234" i="8"/>
  <c r="D235" i="8"/>
  <c r="D236" i="8"/>
  <c r="D237" i="8"/>
  <c r="D238" i="8"/>
  <c r="D239" i="8"/>
  <c r="D240" i="8"/>
  <c r="D241" i="8"/>
  <c r="D242" i="8"/>
  <c r="D243" i="8"/>
  <c r="D244" i="8"/>
  <c r="D245" i="8"/>
  <c r="D246" i="8"/>
  <c r="D247" i="8"/>
  <c r="D248" i="8"/>
  <c r="D249" i="8"/>
  <c r="D250" i="8"/>
  <c r="D251" i="8"/>
  <c r="D3" i="8"/>
  <c r="D4" i="8"/>
  <c r="D5" i="8"/>
  <c r="D6" i="8"/>
  <c r="D2" i="8"/>
  <c r="A251" i="8"/>
  <c r="A16" i="8"/>
  <c r="A17" i="8"/>
  <c r="A18" i="8"/>
  <c r="A19" i="8"/>
  <c r="A20" i="8"/>
  <c r="A21" i="8"/>
  <c r="A22" i="8"/>
  <c r="A23" i="8"/>
  <c r="A24" i="8"/>
  <c r="A25" i="8"/>
  <c r="A26" i="8"/>
  <c r="A27" i="8"/>
  <c r="A28" i="8"/>
  <c r="A29" i="8"/>
  <c r="A30" i="8"/>
  <c r="A31" i="8"/>
  <c r="A32" i="8"/>
  <c r="A33" i="8"/>
  <c r="A34" i="8"/>
  <c r="A35" i="8"/>
  <c r="A36" i="8"/>
  <c r="A37" i="8"/>
  <c r="A38" i="8"/>
  <c r="A39" i="8"/>
  <c r="A40" i="8"/>
  <c r="A41" i="8"/>
  <c r="A42" i="8"/>
  <c r="A43" i="8"/>
  <c r="A44" i="8"/>
  <c r="A45" i="8"/>
  <c r="A46" i="8"/>
  <c r="A47" i="8"/>
  <c r="A48" i="8"/>
  <c r="A49" i="8"/>
  <c r="A50" i="8"/>
  <c r="A51" i="8"/>
  <c r="A52" i="8"/>
  <c r="A53" i="8"/>
  <c r="A54" i="8"/>
  <c r="A55" i="8"/>
  <c r="A56" i="8"/>
  <c r="A57" i="8"/>
  <c r="A58" i="8"/>
  <c r="A59" i="8"/>
  <c r="A60" i="8"/>
  <c r="A61" i="8"/>
  <c r="A62" i="8"/>
  <c r="A63" i="8"/>
  <c r="A64" i="8"/>
  <c r="A65" i="8"/>
  <c r="A66" i="8"/>
  <c r="A67" i="8"/>
  <c r="A68" i="8"/>
  <c r="A69" i="8"/>
  <c r="A70" i="8"/>
  <c r="A71" i="8"/>
  <c r="A72" i="8"/>
  <c r="A73" i="8"/>
  <c r="A74" i="8"/>
  <c r="A75" i="8"/>
  <c r="A76" i="8"/>
  <c r="A77" i="8"/>
  <c r="A78" i="8"/>
  <c r="A79" i="8"/>
  <c r="A80" i="8"/>
  <c r="A81" i="8"/>
  <c r="A82" i="8"/>
  <c r="A83" i="8"/>
  <c r="A84" i="8"/>
  <c r="A85" i="8"/>
  <c r="A86" i="8"/>
  <c r="A87" i="8"/>
  <c r="A88" i="8"/>
  <c r="A89" i="8"/>
  <c r="A90" i="8"/>
  <c r="A91" i="8"/>
  <c r="A92" i="8"/>
  <c r="A93" i="8"/>
  <c r="A94" i="8"/>
  <c r="A95" i="8"/>
  <c r="A96" i="8"/>
  <c r="A97" i="8"/>
  <c r="A98" i="8"/>
  <c r="A99" i="8"/>
  <c r="A100" i="8"/>
  <c r="A101" i="8"/>
  <c r="A102" i="8"/>
  <c r="A103" i="8"/>
  <c r="A104" i="8"/>
  <c r="A105" i="8"/>
  <c r="A106" i="8"/>
  <c r="A107" i="8"/>
  <c r="A108" i="8"/>
  <c r="A109" i="8"/>
  <c r="A110" i="8"/>
  <c r="A111" i="8"/>
  <c r="A112" i="8"/>
  <c r="A113" i="8"/>
  <c r="A114" i="8"/>
  <c r="A115" i="8"/>
  <c r="A116" i="8"/>
  <c r="A117" i="8"/>
  <c r="A118" i="8"/>
  <c r="A119" i="8"/>
  <c r="A120" i="8"/>
  <c r="A121" i="8"/>
  <c r="A122" i="8"/>
  <c r="A123" i="8"/>
  <c r="A124" i="8"/>
  <c r="A125" i="8"/>
  <c r="A126" i="8"/>
  <c r="A127" i="8"/>
  <c r="A128" i="8"/>
  <c r="A129" i="8"/>
  <c r="A130" i="8"/>
  <c r="A131" i="8"/>
  <c r="A132" i="8"/>
  <c r="A133" i="8"/>
  <c r="A134" i="8"/>
  <c r="A135" i="8"/>
  <c r="A136" i="8"/>
  <c r="A137" i="8"/>
  <c r="A138" i="8"/>
  <c r="A139" i="8"/>
  <c r="A140" i="8"/>
  <c r="A141" i="8"/>
  <c r="A142" i="8"/>
  <c r="A143" i="8"/>
  <c r="A144" i="8"/>
  <c r="A145" i="8"/>
  <c r="A146" i="8"/>
  <c r="A147" i="8"/>
  <c r="A148" i="8"/>
  <c r="A149" i="8"/>
  <c r="A150" i="8"/>
  <c r="A151" i="8"/>
  <c r="A152" i="8"/>
  <c r="A153" i="8"/>
  <c r="A154" i="8"/>
  <c r="A155" i="8"/>
  <c r="A156" i="8"/>
  <c r="A157" i="8"/>
  <c r="A158" i="8"/>
  <c r="A159" i="8"/>
  <c r="A160" i="8"/>
  <c r="A161" i="8"/>
  <c r="A162" i="8"/>
  <c r="A163" i="8"/>
  <c r="A164" i="8"/>
  <c r="A165" i="8"/>
  <c r="A166" i="8"/>
  <c r="A167" i="8"/>
  <c r="A168" i="8"/>
  <c r="A169" i="8"/>
  <c r="A170" i="8"/>
  <c r="A171" i="8"/>
  <c r="A172" i="8"/>
  <c r="A173" i="8"/>
  <c r="A174" i="8"/>
  <c r="A175" i="8"/>
  <c r="A176" i="8"/>
  <c r="A177" i="8"/>
  <c r="A178" i="8"/>
  <c r="A179" i="8"/>
  <c r="A180" i="8"/>
  <c r="A181" i="8"/>
  <c r="A182" i="8"/>
  <c r="A183" i="8"/>
  <c r="A184" i="8"/>
  <c r="A185" i="8"/>
  <c r="A186" i="8"/>
  <c r="A187" i="8"/>
  <c r="A188" i="8"/>
  <c r="A189" i="8"/>
  <c r="A190" i="8"/>
  <c r="A191" i="8"/>
  <c r="A192" i="8"/>
  <c r="A193" i="8"/>
  <c r="A194" i="8"/>
  <c r="A195" i="8"/>
  <c r="A196" i="8"/>
  <c r="A197" i="8"/>
  <c r="A198" i="8"/>
  <c r="A199" i="8"/>
  <c r="A200" i="8"/>
  <c r="A201" i="8"/>
  <c r="A202" i="8"/>
  <c r="A203" i="8"/>
  <c r="A204" i="8"/>
  <c r="A205" i="8"/>
  <c r="A206" i="8"/>
  <c r="A207" i="8"/>
  <c r="A208" i="8"/>
  <c r="A209" i="8"/>
  <c r="A210" i="8"/>
  <c r="A211" i="8"/>
  <c r="A212" i="8"/>
  <c r="A213" i="8"/>
  <c r="A214" i="8"/>
  <c r="A215" i="8"/>
  <c r="A216" i="8"/>
  <c r="A217" i="8"/>
  <c r="A218" i="8"/>
  <c r="A219" i="8"/>
  <c r="A220" i="8"/>
  <c r="A221" i="8"/>
  <c r="A222" i="8"/>
  <c r="A223" i="8"/>
  <c r="A224" i="8"/>
  <c r="A225" i="8"/>
  <c r="A226" i="8"/>
  <c r="A227" i="8"/>
  <c r="A228" i="8"/>
  <c r="A229" i="8"/>
  <c r="A230" i="8"/>
  <c r="A231" i="8"/>
  <c r="A232" i="8"/>
  <c r="A233" i="8"/>
  <c r="A234" i="8"/>
  <c r="A235" i="8"/>
  <c r="A236" i="8"/>
  <c r="A237" i="8"/>
  <c r="A238" i="8"/>
  <c r="A239" i="8"/>
  <c r="A240" i="8"/>
  <c r="A241" i="8"/>
  <c r="A242" i="8"/>
  <c r="A243" i="8"/>
  <c r="A244" i="8"/>
  <c r="A245" i="8"/>
  <c r="A246" i="8"/>
  <c r="A247" i="8"/>
  <c r="A248" i="8"/>
  <c r="A249" i="8"/>
  <c r="A250" i="8"/>
  <c r="A3" i="8"/>
  <c r="A4" i="8"/>
  <c r="A5" i="8"/>
  <c r="A6" i="8"/>
  <c r="A7" i="8"/>
  <c r="A8" i="8"/>
  <c r="A9" i="8"/>
  <c r="A10" i="8"/>
  <c r="A11" i="8"/>
  <c r="A12" i="8"/>
  <c r="A13" i="8"/>
  <c r="A14" i="8"/>
  <c r="A15" i="8"/>
  <c r="A2" i="8"/>
  <c r="S2" i="1" l="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3" i="1"/>
  <c r="R4" i="1"/>
  <c r="R5" i="1"/>
  <c r="R2"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 i="1"/>
  <c r="A2" i="2" a="1"/>
  <c r="A2" i="2" s="1"/>
  <c r="P2" i="1" l="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A134" i="2" a="1"/>
  <c r="A134" i="2"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<sst xmlns="http://schemas.openxmlformats.org/spreadsheetml/2006/main" count="3403" uniqueCount="507">
  <si>
    <t>Transaction_ID</t>
  </si>
  <si>
    <t>Date</t>
  </si>
  <si>
    <t>Customer_ID</t>
  </si>
  <si>
    <t>Customer_Name</t>
  </si>
  <si>
    <t>Product_ID</t>
  </si>
  <si>
    <t>Product_Name</t>
  </si>
  <si>
    <t>Category</t>
  </si>
  <si>
    <t>Quantity</t>
  </si>
  <si>
    <t>Unit_Price</t>
  </si>
  <si>
    <t>Payment_Method</t>
  </si>
  <si>
    <t>Region</t>
  </si>
  <si>
    <t>Customer_Segment</t>
  </si>
  <si>
    <t>Customer_Since</t>
  </si>
  <si>
    <t>Total_Amount</t>
  </si>
  <si>
    <t>TRX0155</t>
  </si>
  <si>
    <t>CUST023</t>
  </si>
  <si>
    <t>Paul Baker</t>
  </si>
  <si>
    <t>P009</t>
  </si>
  <si>
    <t>Monitor</t>
  </si>
  <si>
    <t>Electronics</t>
  </si>
  <si>
    <t>Cash</t>
  </si>
  <si>
    <t>Central</t>
  </si>
  <si>
    <t>Basic</t>
  </si>
  <si>
    <t>TRX0023</t>
  </si>
  <si>
    <t>CUST013</t>
  </si>
  <si>
    <t>Joseph Jackson</t>
  </si>
  <si>
    <t>Credit Card</t>
  </si>
  <si>
    <t>Premium</t>
  </si>
  <si>
    <t>TRX0139</t>
  </si>
  <si>
    <t>CUST021</t>
  </si>
  <si>
    <t>Kevin Scott</t>
  </si>
  <si>
    <t>P005</t>
  </si>
  <si>
    <t>Blender</t>
  </si>
  <si>
    <t>Appliances</t>
  </si>
  <si>
    <t>PayPal</t>
  </si>
  <si>
    <t>South</t>
  </si>
  <si>
    <t>Standard</t>
  </si>
  <si>
    <t>TRX0043</t>
  </si>
  <si>
    <t>CUST046</t>
  </si>
  <si>
    <t>Kathleen Bennett</t>
  </si>
  <si>
    <t>North</t>
  </si>
  <si>
    <t>TRX0212</t>
  </si>
  <si>
    <t>CUST003</t>
  </si>
  <si>
    <t>Michael Brown</t>
  </si>
  <si>
    <t>P008</t>
  </si>
  <si>
    <t>Bookshelf</t>
  </si>
  <si>
    <t>Furniture</t>
  </si>
  <si>
    <t>TRX0092</t>
  </si>
  <si>
    <t>CUST024</t>
  </si>
  <si>
    <t>Dorothy Nelson</t>
  </si>
  <si>
    <t>West</t>
  </si>
  <si>
    <t>TRX0193</t>
  </si>
  <si>
    <t>P003</t>
  </si>
  <si>
    <t>Headphones</t>
  </si>
  <si>
    <t>TRX0240</t>
  </si>
  <si>
    <t>CUST017</t>
  </si>
  <si>
    <t>Charles Allen</t>
  </si>
  <si>
    <t>Debit Card</t>
  </si>
  <si>
    <t>TRX0135</t>
  </si>
  <si>
    <t>CUST009</t>
  </si>
  <si>
    <t>Robert Thomas</t>
  </si>
  <si>
    <t>P001</t>
  </si>
  <si>
    <t>Laptop</t>
  </si>
  <si>
    <t>East</t>
  </si>
  <si>
    <t>TRX0185</t>
  </si>
  <si>
    <t>CUST026</t>
  </si>
  <si>
    <t>Karen Hill</t>
  </si>
  <si>
    <t>TRX0138</t>
  </si>
  <si>
    <t>CUST022</t>
  </si>
  <si>
    <t>Susan Green</t>
  </si>
  <si>
    <t>TRX0209</t>
  </si>
  <si>
    <t>TRX0246</t>
  </si>
  <si>
    <t>CUST041</t>
  </si>
  <si>
    <t>Peter Richardson</t>
  </si>
  <si>
    <t>TRX0067</t>
  </si>
  <si>
    <t>CUST043</t>
  </si>
  <si>
    <t>Dennis Gray</t>
  </si>
  <si>
    <t>TRX0191</t>
  </si>
  <si>
    <t>CUST038</t>
  </si>
  <si>
    <t>Michelle Rogers</t>
  </si>
  <si>
    <t>P002</t>
  </si>
  <si>
    <t>Smartphone</t>
  </si>
  <si>
    <t>TRX0230</t>
  </si>
  <si>
    <t>CUST027</t>
  </si>
  <si>
    <t>George Adams</t>
  </si>
  <si>
    <t>TRX0049</t>
  </si>
  <si>
    <t>CUST025</t>
  </si>
  <si>
    <t>Mark Carter</t>
  </si>
  <si>
    <t>TRX0134</t>
  </si>
  <si>
    <t>CUST010</t>
  </si>
  <si>
    <t>Maria Garcia</t>
  </si>
  <si>
    <t>TRX0122</t>
  </si>
  <si>
    <t>TRX0222</t>
  </si>
  <si>
    <t>CUST048</t>
  </si>
  <si>
    <t>Virginia Sanders</t>
  </si>
  <si>
    <t>TRX0231</t>
  </si>
  <si>
    <t>CUST018</t>
  </si>
  <si>
    <t>Barbara Young</t>
  </si>
  <si>
    <t>TRX0239</t>
  </si>
  <si>
    <t>CUST012</t>
  </si>
  <si>
    <t>Patricia Moore</t>
  </si>
  <si>
    <t>TRX0204</t>
  </si>
  <si>
    <t>CUST044</t>
  </si>
  <si>
    <t>Cynthia Price</t>
  </si>
  <si>
    <t>TRX0242</t>
  </si>
  <si>
    <t>P007</t>
  </si>
  <si>
    <t>Desk</t>
  </si>
  <si>
    <t>TRX0071</t>
  </si>
  <si>
    <t>CUST036</t>
  </si>
  <si>
    <t>Nancy Collins</t>
  </si>
  <si>
    <t>TRX0040</t>
  </si>
  <si>
    <t>TRX0235</t>
  </si>
  <si>
    <t>CUST014</t>
  </si>
  <si>
    <t>Linda Martin</t>
  </si>
  <si>
    <t>P004</t>
  </si>
  <si>
    <t>Coffee Maker</t>
  </si>
  <si>
    <t>TRX0004</t>
  </si>
  <si>
    <t>P010</t>
  </si>
  <si>
    <t>Keyboard</t>
  </si>
  <si>
    <t>TRX0063</t>
  </si>
  <si>
    <t>CUST030</t>
  </si>
  <si>
    <t>Helen Roberts</t>
  </si>
  <si>
    <t>TRX0241</t>
  </si>
  <si>
    <t>CUST029</t>
  </si>
  <si>
    <t>Edward Mitchell</t>
  </si>
  <si>
    <t>TRX0029</t>
  </si>
  <si>
    <t>P006</t>
  </si>
  <si>
    <t>Office Chair</t>
  </si>
  <si>
    <t>TRX0194</t>
  </si>
  <si>
    <t>CUST006</t>
  </si>
  <si>
    <t>Lisa Anderson</t>
  </si>
  <si>
    <t>TRX0130</t>
  </si>
  <si>
    <t>CUST002</t>
  </si>
  <si>
    <t>Emma Wilson</t>
  </si>
  <si>
    <t>TRX0041</t>
  </si>
  <si>
    <t>TRX0232</t>
  </si>
  <si>
    <t>TRX0021</t>
  </si>
  <si>
    <t>TRX0245</t>
  </si>
  <si>
    <t>CUST031</t>
  </si>
  <si>
    <t>Steven Turner</t>
  </si>
  <si>
    <t>TRX0015</t>
  </si>
  <si>
    <t>CUST008</t>
  </si>
  <si>
    <t>Jennifer Taylor</t>
  </si>
  <si>
    <t>TRX0202</t>
  </si>
  <si>
    <t>CUST035</t>
  </si>
  <si>
    <t>Harry Morgan</t>
  </si>
  <si>
    <t>TRX0042</t>
  </si>
  <si>
    <t>CUST019</t>
  </si>
  <si>
    <t>Daniel King</t>
  </si>
  <si>
    <t>TRX0128</t>
  </si>
  <si>
    <t>CUST040</t>
  </si>
  <si>
    <t>Sharon Butler</t>
  </si>
  <si>
    <t>TRX0117</t>
  </si>
  <si>
    <t>TRX0208</t>
  </si>
  <si>
    <t>CUST004</t>
  </si>
  <si>
    <t>Sarah Davis</t>
  </si>
  <si>
    <t>TRX0234</t>
  </si>
  <si>
    <t>TRX0121</t>
  </si>
  <si>
    <t>CUST028</t>
  </si>
  <si>
    <t>Betty Campbell</t>
  </si>
  <si>
    <t>TRX0220</t>
  </si>
  <si>
    <t>TRX0093</t>
  </si>
  <si>
    <t>CUST050</t>
  </si>
  <si>
    <t>Julie Foster</t>
  </si>
  <si>
    <t>TRX0088</t>
  </si>
  <si>
    <t>TRX0115</t>
  </si>
  <si>
    <t>TRX0154</t>
  </si>
  <si>
    <t>TRX0044</t>
  </si>
  <si>
    <t>TRX0061</t>
  </si>
  <si>
    <t>TRX0150</t>
  </si>
  <si>
    <t>TRX0025</t>
  </si>
  <si>
    <t>CUST049</t>
  </si>
  <si>
    <t>Raymond Ross</t>
  </si>
  <si>
    <t>TRX0078</t>
  </si>
  <si>
    <t>TRX0007</t>
  </si>
  <si>
    <t>TRX0184</t>
  </si>
  <si>
    <t>TRX0104</t>
  </si>
  <si>
    <t>TRX0127</t>
  </si>
  <si>
    <t>TRX0096</t>
  </si>
  <si>
    <t>TRX0192</t>
  </si>
  <si>
    <t>TRX0052</t>
  </si>
  <si>
    <t>TRX0070</t>
  </si>
  <si>
    <t>CUST007</t>
  </si>
  <si>
    <t>David Martinez</t>
  </si>
  <si>
    <t>TRX0086</t>
  </si>
  <si>
    <t>CUST020</t>
  </si>
  <si>
    <t>Margaret Wright</t>
  </si>
  <si>
    <t>TRX0113</t>
  </si>
  <si>
    <t>TRX0114</t>
  </si>
  <si>
    <t>TRX0136</t>
  </si>
  <si>
    <t>TRX0018</t>
  </si>
  <si>
    <t>TRX0141</t>
  </si>
  <si>
    <t>CUST033</t>
  </si>
  <si>
    <t>Frank Torres</t>
  </si>
  <si>
    <t>TRX0097</t>
  </si>
  <si>
    <t>TRX0169</t>
  </si>
  <si>
    <t>CUST047</t>
  </si>
  <si>
    <t>Gerald Murphy</t>
  </si>
  <si>
    <t>TRX0216</t>
  </si>
  <si>
    <t>TRX0131</t>
  </si>
  <si>
    <t>TRX0162</t>
  </si>
  <si>
    <t>TRX0244</t>
  </si>
  <si>
    <t>TRX0006</t>
  </si>
  <si>
    <t>TRX0215</t>
  </si>
  <si>
    <t>TRX0080</t>
  </si>
  <si>
    <t>TRX0228</t>
  </si>
  <si>
    <t>TRX0157</t>
  </si>
  <si>
    <t>TRX0002</t>
  </si>
  <si>
    <t>TRX0217</t>
  </si>
  <si>
    <t>TRX0249</t>
  </si>
  <si>
    <t>TRX0065</t>
  </si>
  <si>
    <t>CUST016</t>
  </si>
  <si>
    <t>Elizabeth Hall</t>
  </si>
  <si>
    <t>TRX0176</t>
  </si>
  <si>
    <t>TRX0101</t>
  </si>
  <si>
    <t>TRX0205</t>
  </si>
  <si>
    <t>TRX0020</t>
  </si>
  <si>
    <t>TRX0075</t>
  </si>
  <si>
    <t>TRX0098</t>
  </si>
  <si>
    <t>TRX0247</t>
  </si>
  <si>
    <t>TRX0027</t>
  </si>
  <si>
    <t>TRX0140</t>
  </si>
  <si>
    <t>TRX0132</t>
  </si>
  <si>
    <t>TRX0031</t>
  </si>
  <si>
    <t>TRX0236</t>
  </si>
  <si>
    <t>TRX0001</t>
  </si>
  <si>
    <t>CUST039</t>
  </si>
  <si>
    <t>Lawrence Reed</t>
  </si>
  <si>
    <t>TRX0037</t>
  </si>
  <si>
    <t>TRX0058</t>
  </si>
  <si>
    <t>TRX0170</t>
  </si>
  <si>
    <t>CUST034</t>
  </si>
  <si>
    <t>Carol Evans</t>
  </si>
  <si>
    <t>TRX0248</t>
  </si>
  <si>
    <t>CUST032</t>
  </si>
  <si>
    <t>Sandra Phillips</t>
  </si>
  <si>
    <t>TRX0099</t>
  </si>
  <si>
    <t>TRX0074</t>
  </si>
  <si>
    <t>TRX0225</t>
  </si>
  <si>
    <t>TRX0100</t>
  </si>
  <si>
    <t>TRX0142</t>
  </si>
  <si>
    <t>TRX0112</t>
  </si>
  <si>
    <t>TRX0161</t>
  </si>
  <si>
    <t>TRX0108</t>
  </si>
  <si>
    <t>TRX0211</t>
  </si>
  <si>
    <t>TRX0005</t>
  </si>
  <si>
    <t>CUST042</t>
  </si>
  <si>
    <t>Ruth Brooks</t>
  </si>
  <si>
    <t>TRX0195</t>
  </si>
  <si>
    <t>TRX0054</t>
  </si>
  <si>
    <t>TRX0077</t>
  </si>
  <si>
    <t>TRX0111</t>
  </si>
  <si>
    <t>CUST011</t>
  </si>
  <si>
    <t>William White</t>
  </si>
  <si>
    <t>TRX0123</t>
  </si>
  <si>
    <t>TRX0177</t>
  </si>
  <si>
    <t>TRX0119</t>
  </si>
  <si>
    <t>TRX0181</t>
  </si>
  <si>
    <t>TRX0129</t>
  </si>
  <si>
    <t>CUST015</t>
  </si>
  <si>
    <t>Richard Lee</t>
  </si>
  <si>
    <t>TRX0174</t>
  </si>
  <si>
    <t>TRX0146</t>
  </si>
  <si>
    <t>TRX0203</t>
  </si>
  <si>
    <t>TRX0055</t>
  </si>
  <si>
    <t>TRX0218</t>
  </si>
  <si>
    <t>TRX0085</t>
  </si>
  <si>
    <t>TRX0158</t>
  </si>
  <si>
    <t>TRX0173</t>
  </si>
  <si>
    <t>TRX0034</t>
  </si>
  <si>
    <t>TRX0189</t>
  </si>
  <si>
    <t>TRX0190</t>
  </si>
  <si>
    <t>TRX0079</t>
  </si>
  <si>
    <t>TRX0095</t>
  </si>
  <si>
    <t>TRX0009</t>
  </si>
  <si>
    <t>TRX0167</t>
  </si>
  <si>
    <t>TRX0153</t>
  </si>
  <si>
    <t>TRX0057</t>
  </si>
  <si>
    <t>TRX0017</t>
  </si>
  <si>
    <t>TRX0060</t>
  </si>
  <si>
    <t>TRX0109</t>
  </si>
  <si>
    <t>TRX0090</t>
  </si>
  <si>
    <t>TRX0035</t>
  </si>
  <si>
    <t>TRX0172</t>
  </si>
  <si>
    <t>TRX0076</t>
  </si>
  <si>
    <t>TRX0210</t>
  </si>
  <si>
    <t>TRX0149</t>
  </si>
  <si>
    <t>TRX0073</t>
  </si>
  <si>
    <t>TRX0033</t>
  </si>
  <si>
    <t>TRX0160</t>
  </si>
  <si>
    <t>TRX0145</t>
  </si>
  <si>
    <t>TRX0148</t>
  </si>
  <si>
    <t>TRX0012</t>
  </si>
  <si>
    <t>CUST045</t>
  </si>
  <si>
    <t>Douglas Watson</t>
  </si>
  <si>
    <t>TRX0206</t>
  </si>
  <si>
    <t>TRX0045</t>
  </si>
  <si>
    <t>TRX0094</t>
  </si>
  <si>
    <t>TRX0133</t>
  </si>
  <si>
    <t>TRX0201</t>
  </si>
  <si>
    <t>TRX0137</t>
  </si>
  <si>
    <t>TRX0066</t>
  </si>
  <si>
    <t>TRX0180</t>
  </si>
  <si>
    <t>TRX0082</t>
  </si>
  <si>
    <t>CUST005</t>
  </si>
  <si>
    <t>James Johnson</t>
  </si>
  <si>
    <t>TRX0036</t>
  </si>
  <si>
    <t>TRX0198</t>
  </si>
  <si>
    <t>TRX0032</t>
  </si>
  <si>
    <t>TRX0081</t>
  </si>
  <si>
    <t>TRX0224</t>
  </si>
  <si>
    <t>TRX0028</t>
  </si>
  <si>
    <t>TRX0183</t>
  </si>
  <si>
    <t>TRX0163</t>
  </si>
  <si>
    <t>TRX0046</t>
  </si>
  <si>
    <t>TRX0164</t>
  </si>
  <si>
    <t>TRX0008</t>
  </si>
  <si>
    <t>TRX0171</t>
  </si>
  <si>
    <t>TRX0143</t>
  </si>
  <si>
    <t>TRX0165</t>
  </si>
  <si>
    <t>TRX0156</t>
  </si>
  <si>
    <t>TRX0147</t>
  </si>
  <si>
    <t>TRX0207</t>
  </si>
  <si>
    <t>TRX0056</t>
  </si>
  <si>
    <t>TRX0026</t>
  </si>
  <si>
    <t>CUST037</t>
  </si>
  <si>
    <t>Arthur Edwards</t>
  </si>
  <si>
    <t>TRX0237</t>
  </si>
  <si>
    <t>TRX0091</t>
  </si>
  <si>
    <t>TRX0125</t>
  </si>
  <si>
    <t>TRX0223</t>
  </si>
  <si>
    <t>TRX0243</t>
  </si>
  <si>
    <t>TRX0084</t>
  </si>
  <si>
    <t>TRX0238</t>
  </si>
  <si>
    <t>TRX0102</t>
  </si>
  <si>
    <t>TRX0022</t>
  </si>
  <si>
    <t>TRX0087</t>
  </si>
  <si>
    <t>TRX0107</t>
  </si>
  <si>
    <t>TRX0051</t>
  </si>
  <si>
    <t>TRX0106</t>
  </si>
  <si>
    <t>TRX0059</t>
  </si>
  <si>
    <t>TRX0072</t>
  </si>
  <si>
    <t>TRX0110</t>
  </si>
  <si>
    <t>TRX0126</t>
  </si>
  <si>
    <t>TRX0159</t>
  </si>
  <si>
    <t>TRX0030</t>
  </si>
  <si>
    <t>TRX0178</t>
  </si>
  <si>
    <t>TRX0188</t>
  </si>
  <si>
    <t>TRX0010</t>
  </si>
  <si>
    <t>TRX0069</t>
  </si>
  <si>
    <t>TRX0166</t>
  </si>
  <si>
    <t>TRX0219</t>
  </si>
  <si>
    <t>TRX0024</t>
  </si>
  <si>
    <t>TRX0105</t>
  </si>
  <si>
    <t>TRX0011</t>
  </si>
  <si>
    <t>TRX0187</t>
  </si>
  <si>
    <t>TRX0089</t>
  </si>
  <si>
    <t>TRX0196</t>
  </si>
  <si>
    <t>TRX0118</t>
  </si>
  <si>
    <t>TRX0179</t>
  </si>
  <si>
    <t>TRX0168</t>
  </si>
  <si>
    <t>TRX0214</t>
  </si>
  <si>
    <t>TRX0221</t>
  </si>
  <si>
    <t>TRX0083</t>
  </si>
  <si>
    <t>TRX0151</t>
  </si>
  <si>
    <t>TRX0047</t>
  </si>
  <si>
    <t>TRX0200</t>
  </si>
  <si>
    <t>TRX0062</t>
  </si>
  <si>
    <t>TRX0182</t>
  </si>
  <si>
    <t>TRX0229</t>
  </si>
  <si>
    <t>TRX0048</t>
  </si>
  <si>
    <t>TRX0227</t>
  </si>
  <si>
    <t>TRX0226</t>
  </si>
  <si>
    <t>TRX0053</t>
  </si>
  <si>
    <t>TRX0233</t>
  </si>
  <si>
    <t>TRX0175</t>
  </si>
  <si>
    <t>TRX0186</t>
  </si>
  <si>
    <t>TRX0016</t>
  </si>
  <si>
    <t>TRX0199</t>
  </si>
  <si>
    <t>TRX0038</t>
  </si>
  <si>
    <t>TRX0014</t>
  </si>
  <si>
    <t>TRX0003</t>
  </si>
  <si>
    <t>TRX0124</t>
  </si>
  <si>
    <t>TRX0013</t>
  </si>
  <si>
    <t>TRX0019</t>
  </si>
  <si>
    <t>TRX0050</t>
  </si>
  <si>
    <t>CUST001</t>
  </si>
  <si>
    <t>John Smith</t>
  </si>
  <si>
    <t>TRX0152</t>
  </si>
  <si>
    <t>TRX0213</t>
  </si>
  <si>
    <t>TRX0197</t>
  </si>
  <si>
    <t>TRX0250</t>
  </si>
  <si>
    <t>TRX0068</t>
  </si>
  <si>
    <t>TRX0144</t>
  </si>
  <si>
    <t>TRX0039</t>
  </si>
  <si>
    <t>TRX0116</t>
  </si>
  <si>
    <t>TRX0120</t>
  </si>
  <si>
    <t>TRX0103</t>
  </si>
  <si>
    <t>TRX0064</t>
  </si>
  <si>
    <t>customer tenure</t>
  </si>
  <si>
    <t>Electronics only using filter</t>
  </si>
  <si>
    <t>Sales above 2000</t>
  </si>
  <si>
    <t>highvalue</t>
  </si>
  <si>
    <t>product_count</t>
  </si>
  <si>
    <t>total sales</t>
  </si>
  <si>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</si>
  <si>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</si>
  <si>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</si>
  <si>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</si>
  <si>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</si>
  <si>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</si>
  <si>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</si>
  <si>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</si>
  <si>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</si>
  <si>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</si>
  <si>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</si>
  <si>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</si>
  <si>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</si>
  <si>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</si>
  <si>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</si>
  <si>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</si>
  <si>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</si>
  <si>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</si>
  <si>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</si>
  <si>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</si>
  <si>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</si>
  <si>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</si>
  <si>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</si>
  <si>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</si>
  <si>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 xml:space="preserve"> high value customer</t>
  </si>
  <si>
    <t>frequently purchased product</t>
  </si>
  <si>
    <t>Repeating names</t>
  </si>
  <si>
    <t>compare list</t>
  </si>
  <si>
    <t>intials</t>
  </si>
  <si>
    <t>Row Labels</t>
  </si>
  <si>
    <t>Grand Total</t>
  </si>
  <si>
    <t>Sum of Total_Amount</t>
  </si>
  <si>
    <t>month</t>
  </si>
  <si>
    <t>July</t>
  </si>
  <si>
    <t>August</t>
  </si>
  <si>
    <t>September</t>
  </si>
  <si>
    <t>October</t>
  </si>
  <si>
    <t>average</t>
  </si>
  <si>
    <t>transaction</t>
  </si>
  <si>
    <t>x</t>
  </si>
  <si>
    <t>June</t>
  </si>
  <si>
    <t>January</t>
  </si>
  <si>
    <t>February</t>
  </si>
  <si>
    <t>March</t>
  </si>
  <si>
    <t>April</t>
  </si>
  <si>
    <t>May</t>
  </si>
  <si>
    <t>November</t>
  </si>
  <si>
    <t>December</t>
  </si>
  <si>
    <t>Final Report: Sales Performance &amp; Customer Insights</t>
  </si>
  <si>
    <t>1. Executive Summary</t>
  </si>
  <si>
    <r>
      <t xml:space="preserve">The report analyzes </t>
    </r>
    <r>
      <rPr>
        <b/>
        <sz val="16"/>
        <color theme="1"/>
        <rFont val="Calibri"/>
        <family val="2"/>
        <scheme val="minor"/>
      </rPr>
      <t>sales trends, customer behavior, and product performance</t>
    </r>
    <r>
      <rPr>
        <sz val="16"/>
        <color theme="1"/>
        <rFont val="Calibri"/>
        <family val="2"/>
        <scheme val="minor"/>
      </rPr>
      <t>.</t>
    </r>
  </si>
  <si>
    <t>Objective: Identify high-value customers, most purchased products, and overall business performance for informed decision-making.</t>
  </si>
  <si>
    <r>
      <t xml:space="preserve">Tools used: </t>
    </r>
    <r>
      <rPr>
        <b/>
        <sz val="16"/>
        <color theme="1"/>
        <rFont val="Calibri"/>
        <family val="2"/>
        <scheme val="minor"/>
      </rPr>
      <t>Excel (Pivot Tables, Charts, Slicers, Conditional Formatting, SUMIFS, Date/Time functions, Timeline)</t>
    </r>
    <r>
      <rPr>
        <sz val="16"/>
        <color theme="1"/>
        <rFont val="Calibri"/>
        <family val="2"/>
        <scheme val="minor"/>
      </rPr>
      <t>.</t>
    </r>
  </si>
  <si>
    <t>2. Data Overview</t>
  </si>
  <si>
    <r>
      <t xml:space="preserve">Dataset contains </t>
    </r>
    <r>
      <rPr>
        <b/>
        <sz val="16"/>
        <color theme="1"/>
        <rFont val="Calibri"/>
        <family val="2"/>
        <scheme val="minor"/>
      </rPr>
      <t>transaction details</t>
    </r>
    <r>
      <rPr>
        <sz val="16"/>
        <color theme="1"/>
        <rFont val="Calibri"/>
        <family val="2"/>
        <scheme val="minor"/>
      </rPr>
      <t>: customer names, product names, purchase date, payment method, quantity, and amount.</t>
    </r>
  </si>
  <si>
    <t>Data preparation steps:</t>
  </si>
  <si>
    <r>
      <t xml:space="preserve">Extracted </t>
    </r>
    <r>
      <rPr>
        <b/>
        <sz val="16"/>
        <color theme="1"/>
        <rFont val="Calibri"/>
        <family val="2"/>
        <scheme val="minor"/>
      </rPr>
      <t>month and year</t>
    </r>
    <r>
      <rPr>
        <sz val="16"/>
        <color theme="1"/>
        <rFont val="Calibri"/>
        <family val="2"/>
        <scheme val="minor"/>
      </rPr>
      <t xml:space="preserve"> for time-based analysis using </t>
    </r>
    <r>
      <rPr>
        <sz val="10"/>
        <color theme="1"/>
        <rFont val="Arial Unicode MS"/>
      </rPr>
      <t>MONTH()</t>
    </r>
    <r>
      <rPr>
        <sz val="16"/>
        <color theme="1"/>
        <rFont val="Calibri"/>
        <family val="2"/>
        <scheme val="minor"/>
      </rPr>
      <t xml:space="preserve"> and </t>
    </r>
    <r>
      <rPr>
        <sz val="10"/>
        <color theme="1"/>
        <rFont val="Arial Unicode MS"/>
      </rPr>
      <t>YEAR()</t>
    </r>
    <r>
      <rPr>
        <sz val="16"/>
        <color theme="1"/>
        <rFont val="Calibri"/>
        <family val="2"/>
        <scheme val="minor"/>
      </rPr>
      <t>.</t>
    </r>
  </si>
  <si>
    <r>
      <t xml:space="preserve">Created </t>
    </r>
    <r>
      <rPr>
        <b/>
        <sz val="16"/>
        <color theme="1"/>
        <rFont val="Calibri"/>
        <family val="2"/>
        <scheme val="minor"/>
      </rPr>
      <t>helper columns</t>
    </r>
    <r>
      <rPr>
        <sz val="16"/>
        <color theme="1"/>
        <rFont val="Calibri"/>
        <family val="2"/>
        <scheme val="minor"/>
      </rPr>
      <t xml:space="preserve"> for abbreviations and comparison between lists.</t>
    </r>
  </si>
  <si>
    <t>Checked data quality: removed blanks, formatted amounts, ensured numeric values in totals.</t>
  </si>
  <si>
    <t>3. Sales Performance</t>
  </si>
  <si>
    <r>
      <t>Total Sales:</t>
    </r>
    <r>
      <rPr>
        <sz val="16"/>
        <color theme="1"/>
        <rFont val="Calibri"/>
        <family val="2"/>
        <scheme val="minor"/>
      </rPr>
      <t xml:space="preserve"> Computed using </t>
    </r>
    <r>
      <rPr>
        <sz val="10"/>
        <color theme="1"/>
        <rFont val="Arial Unicode MS"/>
      </rPr>
      <t>SUM()</t>
    </r>
    <r>
      <rPr>
        <sz val="16"/>
        <color theme="1"/>
        <rFont val="Calibri"/>
        <family val="2"/>
        <scheme val="minor"/>
      </rPr>
      <t xml:space="preserve"> and </t>
    </r>
    <r>
      <rPr>
        <sz val="10"/>
        <color theme="1"/>
        <rFont val="Arial Unicode MS"/>
      </rPr>
      <t>SUMIFS()</t>
    </r>
    <r>
      <rPr>
        <sz val="16"/>
        <color theme="1"/>
        <rFont val="Calibri"/>
        <family val="2"/>
        <scheme val="minor"/>
      </rPr>
      <t xml:space="preserve"> across products and months.</t>
    </r>
  </si>
  <si>
    <r>
      <t>Monthly Trend:</t>
    </r>
    <r>
      <rPr>
        <sz val="16"/>
        <color theme="1"/>
        <rFont val="Calibri"/>
        <family val="2"/>
        <scheme val="minor"/>
      </rPr>
      <t xml:space="preserve"> Displayed in a </t>
    </r>
    <r>
      <rPr>
        <b/>
        <sz val="16"/>
        <color theme="1"/>
        <rFont val="Calibri"/>
        <family val="2"/>
        <scheme val="minor"/>
      </rPr>
      <t>line chart</t>
    </r>
    <r>
      <rPr>
        <sz val="16"/>
        <color theme="1"/>
        <rFont val="Calibri"/>
        <family val="2"/>
        <scheme val="minor"/>
      </rPr>
      <t xml:space="preserve"> to visualize peak and low sales months.</t>
    </r>
  </si>
  <si>
    <r>
      <t>Regional Distribution:</t>
    </r>
    <r>
      <rPr>
        <sz val="16"/>
        <color theme="1"/>
        <rFont val="Calibri"/>
        <family val="2"/>
        <scheme val="minor"/>
      </rPr>
      <t xml:space="preserve"> Pivot charts show which regions contributed most to total sales.</t>
    </r>
  </si>
  <si>
    <t>Observations:</t>
  </si>
  <si>
    <t>Month X had the highest sales → indicates seasonal peak.</t>
  </si>
  <si>
    <t>Region Y shows lower sales → potential area for marketing focus.</t>
  </si>
  <si>
    <t>4. Customer Insights</t>
  </si>
  <si>
    <r>
      <t>High-Value Customers:</t>
    </r>
    <r>
      <rPr>
        <sz val="16"/>
        <color theme="1"/>
        <rFont val="Calibri"/>
        <family val="2"/>
        <scheme val="minor"/>
      </rPr>
      <t xml:space="preserve"> Identified using </t>
    </r>
    <r>
      <rPr>
        <sz val="10"/>
        <color theme="1"/>
        <rFont val="Arial Unicode MS"/>
      </rPr>
      <t>SUMIFS()</t>
    </r>
    <r>
      <rPr>
        <sz val="16"/>
        <color theme="1"/>
        <rFont val="Calibri"/>
        <family val="2"/>
        <scheme val="minor"/>
      </rPr>
      <t xml:space="preserve"> and filters for total purchase amount.</t>
    </r>
  </si>
  <si>
    <r>
      <t>Premium Customers:</t>
    </r>
    <r>
      <rPr>
        <sz val="16"/>
        <color theme="1"/>
        <rFont val="Calibri"/>
        <family val="2"/>
        <scheme val="minor"/>
      </rPr>
      <t xml:space="preserve"> Tagged based on total purchase value thresholds.</t>
    </r>
  </si>
  <si>
    <t>Top 10% of customers contribute Z% of revenue → focus loyalty programs here.</t>
  </si>
  <si>
    <t>New customers vs repeat customers trend analysis shows retention rate.</t>
  </si>
  <si>
    <t>5. Product Insights</t>
  </si>
  <si>
    <r>
      <t>Most Frequently Purchased Products:</t>
    </r>
    <r>
      <rPr>
        <sz val="16"/>
        <color theme="1"/>
        <rFont val="Calibri"/>
        <family val="2"/>
        <scheme val="minor"/>
      </rPr>
      <t xml:space="preserve"> Using </t>
    </r>
    <r>
      <rPr>
        <sz val="10"/>
        <color theme="1"/>
        <rFont val="Arial Unicode MS"/>
      </rPr>
      <t>COUNTIF()</t>
    </r>
    <r>
      <rPr>
        <sz val="16"/>
        <color theme="1"/>
        <rFont val="Calibri"/>
        <family val="2"/>
        <scheme val="minor"/>
      </rPr>
      <t xml:space="preserve"> and pivot tables.</t>
    </r>
  </si>
  <si>
    <t>Product A is the bestseller → consider stock planning.</t>
  </si>
  <si>
    <t>Product B has low sales → may require promotion or discounting.</t>
  </si>
  <si>
    <r>
      <t>Abbreviations &amp; Labels:</t>
    </r>
    <r>
      <rPr>
        <sz val="16"/>
        <color theme="1"/>
        <rFont val="Calibri"/>
        <family val="2"/>
        <scheme val="minor"/>
      </rPr>
      <t xml:space="preserve"> Cleaned product names for better visualization in charts.</t>
    </r>
  </si>
  <si>
    <t>6. Payment Method Analysis</t>
  </si>
  <si>
    <r>
      <t>Slicer Used:</t>
    </r>
    <r>
      <rPr>
        <sz val="16"/>
        <color theme="1"/>
        <rFont val="Calibri"/>
        <family val="2"/>
        <scheme val="minor"/>
      </rPr>
      <t xml:space="preserve"> Allows filtering by </t>
    </r>
    <r>
      <rPr>
        <b/>
        <sz val="16"/>
        <color theme="1"/>
        <rFont val="Calibri"/>
        <family val="2"/>
        <scheme val="minor"/>
      </rPr>
      <t>payment type</t>
    </r>
    <r>
      <rPr>
        <sz val="16"/>
        <color theme="1"/>
        <rFont val="Calibri"/>
        <family val="2"/>
        <scheme val="minor"/>
      </rPr>
      <t xml:space="preserve"> (Cash, Card, Online).</t>
    </r>
  </si>
  <si>
    <t>Majority use Payment Method X → ensures payment systems are optimized.</t>
  </si>
  <si>
    <t>Trend in method usage month-over-month shows shifts in customer behavior.</t>
  </si>
  <si>
    <t>7. Dashboard &amp; KPIs</t>
  </si>
  <si>
    <r>
      <t>KPIs Highlighted:</t>
    </r>
    <r>
      <rPr>
        <sz val="16"/>
        <color theme="1"/>
        <rFont val="Calibri"/>
        <family val="2"/>
        <scheme val="minor"/>
      </rPr>
      <t xml:space="preserve"> Total Sales, High-Value Customers Count, Most Frequent Product, Average Sale per Customer.</t>
    </r>
  </si>
  <si>
    <t>Visuals:</t>
  </si>
  <si>
    <t>Bar Charts for top products and customers.</t>
  </si>
  <si>
    <t>Pie Charts for sales share by region.</t>
  </si>
  <si>
    <t>Timeline &amp; month slicers to filter and compare performance.</t>
  </si>
  <si>
    <t>Conditional formatting with arrows/icons for quick trend insights.</t>
  </si>
  <si>
    <t>Positive growth in month Y, but some regions declining → actionable insight for management.</t>
  </si>
  <si>
    <t>8. Predictive Insights (Optional)</t>
  </si>
  <si>
    <r>
      <t>Scenario Analysis:</t>
    </r>
    <r>
      <rPr>
        <sz val="16"/>
        <color theme="1"/>
        <rFont val="Calibri"/>
        <family val="2"/>
        <scheme val="minor"/>
      </rPr>
      <t xml:space="preserve"> Using </t>
    </r>
    <r>
      <rPr>
        <b/>
        <sz val="16"/>
        <color theme="1"/>
        <rFont val="Calibri"/>
        <family val="2"/>
        <scheme val="minor"/>
      </rPr>
      <t>Goal Seek</t>
    </r>
    <r>
      <rPr>
        <sz val="16"/>
        <color theme="1"/>
        <rFont val="Calibri"/>
        <family val="2"/>
        <scheme val="minor"/>
      </rPr>
      <t xml:space="preserve"> to estimate impact of increasing high-value customer purchases by 10%.</t>
    </r>
  </si>
  <si>
    <r>
      <t>Linear Regression:</t>
    </r>
    <r>
      <rPr>
        <sz val="16"/>
        <color theme="1"/>
        <rFont val="Calibri"/>
        <family val="2"/>
        <scheme val="minor"/>
      </rPr>
      <t xml:space="preserve"> Simple trend projection of monthly sales → can forecast next quarter.</t>
    </r>
  </si>
  <si>
    <t>9. Recommendations</t>
  </si>
  <si>
    <r>
      <t xml:space="preserve">Focus marketing campaigns on </t>
    </r>
    <r>
      <rPr>
        <b/>
        <sz val="16"/>
        <color theme="1"/>
        <rFont val="Calibri"/>
        <family val="2"/>
        <scheme val="minor"/>
      </rPr>
      <t>high-value regions and customers</t>
    </r>
    <r>
      <rPr>
        <sz val="16"/>
        <color theme="1"/>
        <rFont val="Calibri"/>
        <family val="2"/>
        <scheme val="minor"/>
      </rPr>
      <t>.</t>
    </r>
  </si>
  <si>
    <t>Promote underperforming products using discounts or bundles.</t>
  </si>
  <si>
    <t>Maintain optimal stock for top-selling products to prevent stockouts.</t>
  </si>
  <si>
    <r>
      <t xml:space="preserve">Encourage preferred </t>
    </r>
    <r>
      <rPr>
        <b/>
        <sz val="16"/>
        <color theme="1"/>
        <rFont val="Calibri"/>
        <family val="2"/>
        <scheme val="minor"/>
      </rPr>
      <t>payment methods</t>
    </r>
    <r>
      <rPr>
        <sz val="16"/>
        <color theme="1"/>
        <rFont val="Calibri"/>
        <family val="2"/>
        <scheme val="minor"/>
      </rPr>
      <t xml:space="preserve"> for smoother operations.</t>
    </r>
  </si>
  <si>
    <t>Review declining regions or months for potential issues (logistics, offers, promotions).</t>
  </si>
  <si>
    <t>10. Appendix / Supporting Tables</t>
  </si>
  <si>
    <t>Pivot Tables for total sales by product/region.</t>
  </si>
  <si>
    <t>List of high-value and premium customers.</t>
  </si>
  <si>
    <t>Product frequency analysis tables.</t>
  </si>
  <si>
    <t>Helper columns for month, abbreviations, and comparisons.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</si>
</sst>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9">
    <font>
      <sz val="16"/>
      <color theme="1"/>
      <name val="Calibri"/>
      <family val="2"/>
      <scheme val="minor"/>
    </font>
    <font>
      <b/>
      <sz val="11"/>
      <color theme="1"/>
      <name val="Calibri"/>
      <family val="2"/>
      <scheme val="minor"/>
    </font>
    <font>
      <sz val="11"/>
      <color theme="1"/>
      <name val="Calibri"/>
      <family val="2"/>
      <scheme val="minor"/>
    </font>
    <font>
      <b/>
      <sz val="18"/>
      <color theme="1"/>
      <name val="Calibri"/>
      <family val="2"/>
      <scheme val="minor"/>
    </font>
    <font>
      <b/>
      <sz val="22"/>
      <color theme="1"/>
      <name val="Calibri"/>
      <family val="2"/>
      <scheme val="minor"/>
    </font>
    <font>
      <i/>
      <sz val="16"/>
      <color theme="1"/>
      <name val="Calibri"/>
      <family val="2"/>
      <scheme val="minor"/>
    </font>
    <font>
      <b/>
      <sz val="16"/>
      <color theme="1"/>
      <name val="Calibri"/>
      <family val="2"/>
      <scheme val="minor"/>
    </font>
    <font>
      <b/>
      <sz val="13.5"/>
      <color theme="1"/>
      <name val="Calibri"/>
      <family val="2"/>
      <scheme val="minor"/>
    </font>
    <font>
      <sz val="10"/>
      <color theme="1"/>
      <name val="Arial Unicode MS"/>
    </font>
  </fonts>
  <fills count="2">
    <fill>
      <patternFill patternType="none"/>
    </fill>
    <fill>
      <patternFill patternType="gray125"/>
    </fill>
  </fills>
  <borders count="7">
    <border>
      <left/>
      <right/>
      <top/>
      <bottom/>
      <diagonal/>
    </border>
    <border>
      <left style="medium">
        <color rgb="FFCCCCCC"/>
      </left>
      <right style="medium">
        <color rgb="FFCCCCCC"/>
      </right>
      <top style="medium">
        <color rgb="FFCCCCCC"/>
      </top>
      <bottom style="medium">
        <color rgb="FFCCCCCC"/>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thin">
        <color indexed="64"/>
      </top>
      <bottom/>
      <diagonal/>
    </border>
    <border>
      <left/>
      <right/>
      <top/>
      <bottom style="medium">
        <color indexed="64"/>
      </bottom>
      <diagonal/>
    </border>
    <border>
      <left/>
      <right/>
      <top style="medium">
        <color indexed="64"/>
      </top>
      <bottom style="thin">
        <color indexed="64"/>
      </bottom>
      <diagonal/>
    </border>
  </borders>
  <cellStyleXfs count="1">
    <xf numFmtId="0" fontId="0" fillId="0" borderId="0"/>
  </cellStyleXfs>
  <cellXfs count="33">
    <xf numFmtId="0" fontId="0" fillId="0" borderId="0" xfId="0"/>
    <xf numFmtId="0" fontId="1" fillId="0" borderId="1" xfId="0" applyFont="1" applyBorder="1" applyAlignment="1">
      <alignment wrapText="1"/>
    </xf>
    <xf numFmtId="0" fontId="2" fillId="0" borderId="1" xfId="0" applyFont="1" applyBorder="1" applyAlignment="1">
      <alignment wrapText="1"/>
    </xf>
    <xf numFmtId="0" fontId="0" fillId="0" borderId="2" xfId="0" applyBorder="1"/>
    <xf numFmtId="0" fontId="0" fillId="0" borderId="5" xfId="0" applyBorder="1"/>
    <xf numFmtId="0" fontId="5" fillId="0" borderId="6" xfId="0" applyFont="1" applyBorder="1" applyAlignment="1">
      <alignment horizontal="center"/>
    </xf>
    <xf numFmtId="0" fontId="5" fillId="0" borderId="6" xfId="0" applyFont="1" applyBorder="1" applyAlignment="1">
      <alignment horizontal="centerContinuous"/>
    </xf>
    <xf numFmtId="2" fontId="0" fillId="0" borderId="0" xfId="0" applyNumberFormat="1"/>
    <xf numFmtId="0" fontId="3" fillId="0" borderId="2" xfId="0" applyFont="1" applyBorder="1"/>
    <xf numFmtId="0" fontId="1" fillId="0" borderId="2" xfId="0" applyFont="1" applyBorder="1" applyAlignment="1">
      <alignment wrapText="1"/>
    </xf>
    <xf numFmtId="0" fontId="1" fillId="0" borderId="2" xfId="0" applyFont="1" applyBorder="1" applyAlignment="1">
      <alignment horizontal="center" vertical="center"/>
    </xf>
    <xf numFmtId="0" fontId="2" fillId="0" borderId="2" xfId="0" applyFont="1" applyBorder="1" applyAlignment="1">
      <alignment wrapText="1"/>
    </xf>
    <xf numFmtId="0" fontId="1" fillId="0" borderId="0" xfId="0" applyFont="1" applyAlignment="1">
      <alignment horizontal="center" vertical="center" wrapText="1"/>
    </xf>
    <xf numFmtId="0" fontId="0" fillId="0" borderId="0" xfId="0" pivotButton="1"/>
    <xf numFmtId="0" fontId="0" fillId="0" borderId="0" xfId="0" applyAlignment="1">
      <alignment horizontal="left"/>
    </xf>
    <xf numFmtId="2" fontId="1" fillId="0" borderId="2" xfId="0" applyNumberFormat="1" applyFont="1" applyBorder="1" applyAlignment="1">
      <alignment wrapText="1"/>
    </xf>
    <xf numFmtId="0" fontId="1" fillId="0" borderId="2" xfId="0" applyFont="1" applyBorder="1" applyAlignment="1">
      <alignment horizontal="center" vertical="center" wrapText="1"/>
    </xf>
    <xf numFmtId="0" fontId="2" fillId="0" borderId="2" xfId="0" applyFont="1" applyBorder="1" applyAlignment="1">
      <alignment horizontal="right" wrapText="1"/>
    </xf>
    <xf numFmtId="14" fontId="2" fillId="0" borderId="2" xfId="0" applyNumberFormat="1" applyFont="1" applyBorder="1" applyAlignment="1">
      <alignment horizontal="right" wrapText="1"/>
    </xf>
    <xf numFmtId="2" fontId="2" fillId="0" borderId="2" xfId="0" applyNumberFormat="1" applyFont="1" applyBorder="1" applyAlignment="1">
      <alignment horizontal="right" wrapText="1"/>
    </xf>
    <xf numFmtId="164" fontId="0" fillId="0" borderId="2" xfId="0" applyNumberFormat="1" applyBorder="1"/>
    <xf numFmtId="0" fontId="0" fillId="0" borderId="2" xfId="0" applyBorder="1" applyAlignment="1">
      <alignment horizontal="center" vertical="center"/>
    </xf>
    <xf numFmtId="2" fontId="0" fillId="0" borderId="2" xfId="0" applyNumberFormat="1" applyBorder="1"/>
    <xf numFmtId="14" fontId="1" fillId="0" borderId="2" xfId="0" applyNumberFormat="1" applyFont="1" applyBorder="1" applyAlignment="1">
      <alignment wrapText="1"/>
    </xf>
    <xf numFmtId="0" fontId="3" fillId="0" borderId="0" xfId="0" applyFont="1" applyAlignment="1">
      <alignment vertical="center"/>
    </xf>
    <xf numFmtId="0" fontId="7" fillId="0" borderId="0" xfId="0" applyFont="1" applyAlignment="1">
      <alignment vertical="center"/>
    </xf>
    <xf numFmtId="0" fontId="0" fillId="0" borderId="0" xfId="0" applyAlignment="1">
      <alignment horizontal="left" vertical="center" indent="1"/>
    </xf>
    <xf numFmtId="0" fontId="0" fillId="0" borderId="0" xfId="0" applyAlignment="1">
      <alignment horizontal="left" vertical="center" indent="2"/>
    </xf>
    <xf numFmtId="0" fontId="6" fillId="0" borderId="0" xfId="0" applyFont="1" applyAlignment="1">
      <alignment horizontal="left" vertical="center" indent="1"/>
    </xf>
    <xf numFmtId="0" fontId="4" fillId="0" borderId="3" xfId="0" applyFont="1" applyBorder="1" applyAlignment="1">
      <alignment horizontal="center"/>
    </xf>
    <xf numFmtId="0" fontId="0" fillId="0" borderId="3" xfId="0" applyBorder="1" applyAlignment="1">
      <alignment horizontal="center"/>
    </xf>
    <xf numFmtId="0" fontId="4" fillId="0" borderId="4" xfId="0" applyFont="1" applyBorder="1" applyAlignment="1">
      <alignment horizontal="center"/>
    </xf>
    <xf numFmtId="0" fontId="0" fillId="0" borderId="4" xfId="0"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2.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11/relationships/timelineCache" Target="timelineCaches/timelineCache1.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5" Type="http://schemas.openxmlformats.org/officeDocument/2006/relationships/worksheet" Target="worksheets/sheet5.xml"/><Relationship Id="rId15" Type="http://schemas.openxmlformats.org/officeDocument/2006/relationships/pivotCacheDefinition" Target="pivotCache/pivotCacheDefinition5.xml"/><Relationship Id="rId10" Type="http://schemas.openxmlformats.org/officeDocument/2006/relationships/pivotCacheDefinition" Target="pivotCache/pivotCacheDefinition3.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400" b="1"/>
              <a:t>Monthly</a:t>
            </a:r>
            <a:r>
              <a:rPr lang="en-US" sz="2400" b="1" baseline="0"/>
              <a:t> Sales Trend</a:t>
            </a:r>
            <a:endParaRPr lang="en-US" sz="24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Series1</c:v>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Lit>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Lit>
          </c:cat>
          <c:val>
            <c:numLit>
              <c:formatCode>General</c:formatCode>
              <c:ptCount val="12"/>
              <c:pt idx="0">
                <c:v>25799.15</c:v>
              </c:pt>
              <c:pt idx="1">
                <c:v>16069.379999999997</c:v>
              </c:pt>
              <c:pt idx="2">
                <c:v>19899.379999999997</c:v>
              </c:pt>
              <c:pt idx="3">
                <c:v>27899.160000000007</c:v>
              </c:pt>
              <c:pt idx="4">
                <c:v>17039.349999999999</c:v>
              </c:pt>
              <c:pt idx="5">
                <c:v>19299.45</c:v>
              </c:pt>
              <c:pt idx="6">
                <c:v>18479.399999999994</c:v>
              </c:pt>
              <c:pt idx="7">
                <c:v>15759.429999999997</c:v>
              </c:pt>
              <c:pt idx="8">
                <c:v>12989.509999999997</c:v>
              </c:pt>
              <c:pt idx="9">
                <c:v>20609.52</c:v>
              </c:pt>
              <c:pt idx="10">
                <c:v>12309.439999999999</c:v>
              </c:pt>
              <c:pt idx="11">
                <c:v>23039.3</c:v>
              </c:pt>
            </c:numLit>
          </c:val>
          <c:smooth val="0"/>
          <c:extLst>
            <c:ext xmlns:c16="http://schemas.microsoft.com/office/drawing/2014/chart" uri="{C3380CC4-5D6E-409C-BE32-E72D297353CC}">
              <c16:uniqueId val="{00000000-CE54-4C84-9B20-1C6C389A590C}"/>
            </c:ext>
          </c:extLst>
        </c:ser>
        <c:dLbls>
          <c:showLegendKey val="0"/>
          <c:showVal val="0"/>
          <c:showCatName val="0"/>
          <c:showSerName val="0"/>
          <c:showPercent val="0"/>
          <c:showBubbleSize val="0"/>
        </c:dLbls>
        <c:marker val="1"/>
        <c:smooth val="0"/>
        <c:axId val="656881176"/>
        <c:axId val="656880096"/>
      </c:lineChart>
      <c:catAx>
        <c:axId val="65688117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6880096"/>
        <c:crosses val="autoZero"/>
        <c:auto val="1"/>
        <c:lblAlgn val="ctr"/>
        <c:lblOffset val="100"/>
        <c:noMultiLvlLbl val="0"/>
      </c:catAx>
      <c:valAx>
        <c:axId val="6568800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6881176"/>
        <c:crosses val="autoZero"/>
        <c:crossBetween val="between"/>
      </c:valAx>
      <c:spPr>
        <a:noFill/>
        <a:ln>
          <a:noFill/>
        </a:ln>
        <a:effectLst>
          <a:glow rad="127000">
            <a:schemeClr val="accent1"/>
          </a:glo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project.xlsx]PIVOT TABLE!PivotTable2</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2400" b="1"/>
              <a:t>Sales</a:t>
            </a:r>
            <a:r>
              <a:rPr lang="en-IN" sz="2400" b="1" baseline="0"/>
              <a:t> By Regions</a:t>
            </a:r>
            <a:endParaRPr lang="en-IN" sz="24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pivotFmt>
      <c:pivotFmt>
        <c:idx val="2"/>
        <c:spPr>
          <a:solidFill>
            <a:schemeClr val="accent2"/>
          </a:solidFill>
          <a:ln>
            <a:noFill/>
          </a:ln>
          <a:effectLst/>
        </c:spPr>
      </c:pivotFmt>
      <c:pivotFmt>
        <c:idx val="3"/>
        <c:spPr>
          <a:solidFill>
            <a:schemeClr val="accent2"/>
          </a:solidFill>
          <a:ln>
            <a:noFill/>
          </a:ln>
          <a:effectLst/>
        </c:spPr>
      </c:pivotFmt>
      <c:pivotFmt>
        <c:idx val="4"/>
        <c:spPr>
          <a:solidFill>
            <a:schemeClr val="accent2"/>
          </a:solidFill>
          <a:ln>
            <a:noFill/>
          </a:ln>
          <a:effectLst/>
        </c:spPr>
      </c:pivotFmt>
      <c:pivotFmt>
        <c:idx val="5"/>
        <c:spPr>
          <a:solidFill>
            <a:schemeClr val="accent2"/>
          </a:solidFill>
          <a:ln>
            <a:noFill/>
          </a:ln>
          <a:effectLst/>
        </c:spPr>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pivotFmt>
      <c:pivotFmt>
        <c:idx val="8"/>
        <c:spPr>
          <a:solidFill>
            <a:schemeClr val="accent2"/>
          </a:solidFill>
          <a:ln>
            <a:noFill/>
          </a:ln>
          <a:effectLst/>
        </c:spPr>
      </c:pivotFmt>
      <c:pivotFmt>
        <c:idx val="9"/>
        <c:spPr>
          <a:solidFill>
            <a:schemeClr val="accent2"/>
          </a:solidFill>
          <a:ln>
            <a:noFill/>
          </a:ln>
          <a:effectLst/>
        </c:spPr>
      </c:pivotFmt>
      <c:pivotFmt>
        <c:idx val="10"/>
        <c:spPr>
          <a:solidFill>
            <a:schemeClr val="accent2"/>
          </a:solidFill>
          <a:ln>
            <a:noFill/>
          </a:ln>
          <a:effectLst/>
        </c:spPr>
      </c:pivotFmt>
      <c:pivotFmt>
        <c:idx val="11"/>
        <c:spPr>
          <a:solidFill>
            <a:schemeClr val="accent2"/>
          </a:solidFill>
          <a:ln>
            <a:noFill/>
          </a:ln>
          <a:effectLst/>
        </c:spPr>
      </c:pivotFmt>
    </c:pivotFmts>
    <c:plotArea>
      <c:layout/>
      <c:barChart>
        <c:barDir val="bar"/>
        <c:grouping val="clustered"/>
        <c:varyColors val="1"/>
        <c:ser>
          <c:idx val="0"/>
          <c:order val="0"/>
          <c:tx>
            <c:strRef>
              <c:f>'PIVOT TABLE'!$B$4</c:f>
              <c:strCache>
                <c:ptCount val="1"/>
                <c:pt idx="0">
                  <c:v>Total</c:v>
                </c:pt>
              </c:strCache>
            </c:strRef>
          </c:tx>
          <c:invertIfNegative val="0"/>
          <c:dPt>
            <c:idx val="0"/>
            <c:invertIfNegative val="0"/>
            <c:bubble3D val="0"/>
            <c:spPr>
              <a:solidFill>
                <a:schemeClr val="accent2"/>
              </a:solidFill>
              <a:ln>
                <a:noFill/>
              </a:ln>
              <a:effectLst/>
            </c:spPr>
            <c:extLst>
              <c:ext xmlns:c16="http://schemas.microsoft.com/office/drawing/2014/chart" uri="{C3380CC4-5D6E-409C-BE32-E72D297353CC}">
                <c16:uniqueId val="{00000001-9A36-4396-80D4-0B3711889338}"/>
              </c:ext>
            </c:extLst>
          </c:dPt>
          <c:dPt>
            <c:idx val="1"/>
            <c:invertIfNegative val="0"/>
            <c:bubble3D val="0"/>
            <c:spPr>
              <a:solidFill>
                <a:schemeClr val="accent4"/>
              </a:solidFill>
              <a:ln>
                <a:noFill/>
              </a:ln>
              <a:effectLst/>
            </c:spPr>
            <c:extLst>
              <c:ext xmlns:c16="http://schemas.microsoft.com/office/drawing/2014/chart" uri="{C3380CC4-5D6E-409C-BE32-E72D297353CC}">
                <c16:uniqueId val="{00000003-9A36-4396-80D4-0B3711889338}"/>
              </c:ext>
            </c:extLst>
          </c:dPt>
          <c:dPt>
            <c:idx val="2"/>
            <c:invertIfNegative val="0"/>
            <c:bubble3D val="0"/>
            <c:spPr>
              <a:solidFill>
                <a:schemeClr val="accent6"/>
              </a:solidFill>
              <a:ln>
                <a:noFill/>
              </a:ln>
              <a:effectLst/>
            </c:spPr>
            <c:extLst>
              <c:ext xmlns:c16="http://schemas.microsoft.com/office/drawing/2014/chart" uri="{C3380CC4-5D6E-409C-BE32-E72D297353CC}">
                <c16:uniqueId val="{00000005-9A36-4396-80D4-0B3711889338}"/>
              </c:ext>
            </c:extLst>
          </c:dPt>
          <c:dPt>
            <c:idx val="3"/>
            <c:invertIfNegative val="0"/>
            <c:bubble3D val="0"/>
            <c:spPr>
              <a:solidFill>
                <a:schemeClr val="accent2">
                  <a:lumMod val="60000"/>
                </a:schemeClr>
              </a:solidFill>
              <a:ln>
                <a:noFill/>
              </a:ln>
              <a:effectLst/>
            </c:spPr>
            <c:extLst>
              <c:ext xmlns:c16="http://schemas.microsoft.com/office/drawing/2014/chart" uri="{C3380CC4-5D6E-409C-BE32-E72D297353CC}">
                <c16:uniqueId val="{00000007-9A36-4396-80D4-0B3711889338}"/>
              </c:ext>
            </c:extLst>
          </c:dPt>
          <c:dPt>
            <c:idx val="4"/>
            <c:invertIfNegative val="0"/>
            <c:bubble3D val="0"/>
            <c:spPr>
              <a:solidFill>
                <a:schemeClr val="accent4">
                  <a:lumMod val="60000"/>
                </a:schemeClr>
              </a:solidFill>
              <a:ln>
                <a:noFill/>
              </a:ln>
              <a:effectLst/>
            </c:spPr>
            <c:extLst>
              <c:ext xmlns:c16="http://schemas.microsoft.com/office/drawing/2014/chart" uri="{C3380CC4-5D6E-409C-BE32-E72D297353CC}">
                <c16:uniqueId val="{00000009-9A36-4396-80D4-0B371188933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TABLE'!$A$5:$A$10</c:f>
              <c:strCache>
                <c:ptCount val="5"/>
                <c:pt idx="0">
                  <c:v>Central</c:v>
                </c:pt>
                <c:pt idx="1">
                  <c:v>East</c:v>
                </c:pt>
                <c:pt idx="2">
                  <c:v>North</c:v>
                </c:pt>
                <c:pt idx="3">
                  <c:v>South</c:v>
                </c:pt>
                <c:pt idx="4">
                  <c:v>West</c:v>
                </c:pt>
              </c:strCache>
            </c:strRef>
          </c:cat>
          <c:val>
            <c:numRef>
              <c:f>'PIVOT TABLE'!$B$5:$B$10</c:f>
              <c:numCache>
                <c:formatCode>0.00</c:formatCode>
                <c:ptCount val="5"/>
                <c:pt idx="0">
                  <c:v>41288.340000000018</c:v>
                </c:pt>
                <c:pt idx="1">
                  <c:v>59288.389999999992</c:v>
                </c:pt>
                <c:pt idx="2">
                  <c:v>50808.310000000012</c:v>
                </c:pt>
                <c:pt idx="3">
                  <c:v>36398.750000000007</c:v>
                </c:pt>
                <c:pt idx="4">
                  <c:v>41408.680000000015</c:v>
                </c:pt>
              </c:numCache>
            </c:numRef>
          </c:val>
          <c:extLst>
            <c:ext xmlns:c16="http://schemas.microsoft.com/office/drawing/2014/chart" uri="{C3380CC4-5D6E-409C-BE32-E72D297353CC}">
              <c16:uniqueId val="{0000000A-9A36-4396-80D4-0B3711889338}"/>
            </c:ext>
          </c:extLst>
        </c:ser>
        <c:dLbls>
          <c:dLblPos val="outEnd"/>
          <c:showLegendKey val="0"/>
          <c:showVal val="1"/>
          <c:showCatName val="0"/>
          <c:showSerName val="0"/>
          <c:showPercent val="0"/>
          <c:showBubbleSize val="0"/>
        </c:dLbls>
        <c:gapWidth val="30"/>
        <c:axId val="734106120"/>
        <c:axId val="734109000"/>
      </c:barChart>
      <c:catAx>
        <c:axId val="73410612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4109000"/>
        <c:crosses val="autoZero"/>
        <c:auto val="1"/>
        <c:lblAlgn val="ctr"/>
        <c:lblOffset val="100"/>
        <c:noMultiLvlLbl val="0"/>
      </c:catAx>
      <c:valAx>
        <c:axId val="734109000"/>
        <c:scaling>
          <c:orientation val="minMax"/>
        </c:scaling>
        <c:delete val="0"/>
        <c:axPos val="b"/>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4106120"/>
        <c:crosses val="autoZero"/>
        <c:crossBetween val="between"/>
      </c:valAx>
      <c:spPr>
        <a:noFill/>
        <a:ln>
          <a:noFill/>
        </a:ln>
        <a:effectLst>
          <a:outerShdw blurRad="50800" dist="25400" dir="5400000" sx="83000" sy="83000" algn="ctr" rotWithShape="0">
            <a:srgbClr val="000000">
              <a:alpha val="0"/>
            </a:srgbClr>
          </a:outerShdw>
          <a:softEdge rad="0"/>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project.xlsx]PIVOT TABLE!PivotTable3</c:name>
    <c:fmtId val="17"/>
  </c:pivotSource>
  <c:chart>
    <c:title>
      <c:tx>
        <c:rich>
          <a:bodyPr rot="0" spcFirstLastPara="1" vertOverflow="ellipsis" vert="horz" wrap="square" anchor="ctr" anchorCtr="1"/>
          <a:lstStyle/>
          <a:p>
            <a:pPr>
              <a:defRPr sz="2400" b="0" i="0" u="none" strike="noStrike" kern="1200" spc="0" baseline="0">
                <a:solidFill>
                  <a:schemeClr val="tx1">
                    <a:lumMod val="65000"/>
                    <a:lumOff val="35000"/>
                  </a:schemeClr>
                </a:solidFill>
                <a:latin typeface="+mn-lt"/>
                <a:ea typeface="+mn-ea"/>
                <a:cs typeface="+mn-cs"/>
              </a:defRPr>
            </a:pPr>
            <a:r>
              <a:rPr lang="en-IN" sz="2400" b="1"/>
              <a:t>Sales By Category</a:t>
            </a:r>
          </a:p>
        </c:rich>
      </c:tx>
      <c:overlay val="0"/>
      <c:spPr>
        <a:noFill/>
        <a:ln>
          <a:noFill/>
        </a:ln>
        <a:effectLst/>
      </c:spPr>
      <c:txPr>
        <a:bodyPr rot="0" spcFirstLastPara="1" vertOverflow="ellipsis" vert="horz" wrap="square" anchor="ctr" anchorCtr="1"/>
        <a:lstStyle/>
        <a:p>
          <a:pPr>
            <a:defRPr sz="2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pieChart>
        <c:varyColors val="1"/>
        <c:ser>
          <c:idx val="0"/>
          <c:order val="0"/>
          <c:tx>
            <c:strRef>
              <c:f>'PIVOT TABLE'!$E$4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FDC-401D-8C45-FAFCFEEB958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FDC-401D-8C45-FAFCFEEB958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FDC-401D-8C45-FAFCFEEB958C}"/>
              </c:ext>
            </c:extLst>
          </c:dPt>
          <c:dLbls>
            <c:dLbl>
              <c:idx val="0"/>
              <c:dLblPos val="ct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DFDC-401D-8C45-FAFCFEEB958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1"/>
            <c:showSerName val="0"/>
            <c:showPercent val="1"/>
            <c:showBubbleSize val="0"/>
            <c:showLeaderLines val="0"/>
            <c:extLst>
              <c:ext xmlns:c15="http://schemas.microsoft.com/office/drawing/2012/chart" uri="{CE6537A1-D6FC-4f65-9D91-7224C49458BB}"/>
            </c:extLst>
          </c:dLbls>
          <c:cat>
            <c:strRef>
              <c:f>'PIVOT TABLE'!$D$5:$D$8</c:f>
              <c:strCache>
                <c:ptCount val="3"/>
                <c:pt idx="0">
                  <c:v>Appliances</c:v>
                </c:pt>
                <c:pt idx="1">
                  <c:v>Electronics</c:v>
                </c:pt>
                <c:pt idx="2">
                  <c:v>Furniture</c:v>
                </c:pt>
              </c:strCache>
            </c:strRef>
          </c:cat>
          <c:val>
            <c:numRef>
              <c:f>'PIVOT TABLE'!$E$5:$E$8</c:f>
              <c:numCache>
                <c:formatCode>0.00</c:formatCode>
                <c:ptCount val="3"/>
                <c:pt idx="0">
                  <c:v>8338.7399999999961</c:v>
                </c:pt>
                <c:pt idx="1">
                  <c:v>171756.05000000013</c:v>
                </c:pt>
                <c:pt idx="2">
                  <c:v>49097.680000000015</c:v>
                </c:pt>
              </c:numCache>
            </c:numRef>
          </c:val>
          <c:extLst>
            <c:ext xmlns:c16="http://schemas.microsoft.com/office/drawing/2014/chart" uri="{C3380CC4-5D6E-409C-BE32-E72D297353CC}">
              <c16:uniqueId val="{00000006-DFDC-401D-8C45-FAFCFEEB958C}"/>
            </c:ext>
          </c:extLst>
        </c:ser>
        <c:dLbls>
          <c:dLblPos val="inEnd"/>
          <c:showLegendKey val="0"/>
          <c:showVal val="1"/>
          <c:showCatName val="0"/>
          <c:showSerName val="0"/>
          <c:showPercent val="0"/>
          <c:showBubbleSize val="0"/>
          <c:showLeaderLines val="0"/>
        </c:dLbls>
        <c:firstSliceAng val="115"/>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495300</xdr:colOff>
      <xdr:row>1</xdr:row>
      <xdr:rowOff>9525</xdr:rowOff>
    </xdr:from>
    <xdr:to>
      <xdr:col>3</xdr:col>
      <xdr:colOff>266700</xdr:colOff>
      <xdr:row>4</xdr:row>
      <xdr:rowOff>104775</xdr:rowOff>
    </xdr:to>
    <xdr:sp macro="" textlink="">
      <xdr:nvSpPr>
        <xdr:cNvPr id="2" name="Rectangle 1">
          <a:extLst>
            <a:ext uri="{FF2B5EF4-FFF2-40B4-BE49-F238E27FC236}">
              <a16:creationId xmlns:a16="http://schemas.microsoft.com/office/drawing/2014/main" id="{D74AA514-A27A-CD8F-36F9-62C0D1DDE693}"/>
            </a:ext>
          </a:extLst>
        </xdr:cNvPr>
        <xdr:cNvSpPr/>
      </xdr:nvSpPr>
      <xdr:spPr>
        <a:xfrm>
          <a:off x="495300" y="276225"/>
          <a:ext cx="2514600" cy="89535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t>Total</a:t>
          </a:r>
          <a:r>
            <a:rPr lang="en-IN" sz="1800" b="1" baseline="0"/>
            <a:t> Sales</a:t>
          </a:r>
        </a:p>
        <a:p>
          <a:pPr algn="ctr"/>
          <a:r>
            <a:rPr lang="en-IN" sz="2800" b="1" i="0" u="none" strike="noStrike">
              <a:solidFill>
                <a:schemeClr val="lt1"/>
              </a:solidFill>
              <a:effectLst/>
              <a:latin typeface="+mn-lt"/>
              <a:ea typeface="+mn-ea"/>
              <a:cs typeface="+mn-cs"/>
            </a:rPr>
            <a:t>₹ 2,29,192.47</a:t>
          </a:r>
          <a:r>
            <a:rPr lang="en-IN" sz="2800" b="1">
              <a:effectLst/>
            </a:rPr>
            <a:t> </a:t>
          </a:r>
          <a:endParaRPr lang="en-IN" sz="2800" b="1"/>
        </a:p>
      </xdr:txBody>
    </xdr:sp>
    <xdr:clientData/>
  </xdr:twoCellAnchor>
  <xdr:twoCellAnchor>
    <xdr:from>
      <xdr:col>3</xdr:col>
      <xdr:colOff>523875</xdr:colOff>
      <xdr:row>1</xdr:row>
      <xdr:rowOff>9525</xdr:rowOff>
    </xdr:from>
    <xdr:to>
      <xdr:col>6</xdr:col>
      <xdr:colOff>247650</xdr:colOff>
      <xdr:row>4</xdr:row>
      <xdr:rowOff>114300</xdr:rowOff>
    </xdr:to>
    <xdr:sp macro="" textlink="">
      <xdr:nvSpPr>
        <xdr:cNvPr id="3" name="Rectangle 2">
          <a:extLst>
            <a:ext uri="{FF2B5EF4-FFF2-40B4-BE49-F238E27FC236}">
              <a16:creationId xmlns:a16="http://schemas.microsoft.com/office/drawing/2014/main" id="{38BE463C-B5BC-B23A-77E6-5FFC7DC85F3D}"/>
            </a:ext>
          </a:extLst>
        </xdr:cNvPr>
        <xdr:cNvSpPr/>
      </xdr:nvSpPr>
      <xdr:spPr>
        <a:xfrm>
          <a:off x="3267075" y="276225"/>
          <a:ext cx="2466975" cy="904875"/>
        </a:xfrm>
        <a:prstGeom prst="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t>Average</a:t>
          </a:r>
          <a:r>
            <a:rPr lang="en-IN" sz="1800" b="1" baseline="0"/>
            <a:t> Sale</a:t>
          </a:r>
        </a:p>
        <a:p>
          <a:pPr algn="ctr"/>
          <a:r>
            <a:rPr lang="en-IN" sz="2800" b="1" i="0" u="none" strike="noStrike">
              <a:solidFill>
                <a:schemeClr val="lt1"/>
              </a:solidFill>
              <a:effectLst/>
              <a:latin typeface="+mn-lt"/>
              <a:ea typeface="+mn-ea"/>
              <a:cs typeface="+mn-cs"/>
            </a:rPr>
            <a:t>₹ 916.77</a:t>
          </a:r>
          <a:r>
            <a:rPr lang="en-IN" sz="1400">
              <a:effectLst/>
            </a:rPr>
            <a:t> </a:t>
          </a:r>
          <a:endParaRPr lang="en-IN" sz="1400" b="1"/>
        </a:p>
      </xdr:txBody>
    </xdr:sp>
    <xdr:clientData/>
  </xdr:twoCellAnchor>
  <xdr:twoCellAnchor>
    <xdr:from>
      <xdr:col>0</xdr:col>
      <xdr:colOff>499349</xdr:colOff>
      <xdr:row>5</xdr:row>
      <xdr:rowOff>14561</xdr:rowOff>
    </xdr:from>
    <xdr:to>
      <xdr:col>8</xdr:col>
      <xdr:colOff>276225</xdr:colOff>
      <xdr:row>12</xdr:row>
      <xdr:rowOff>76200</xdr:rowOff>
    </xdr:to>
    <xdr:graphicFrame macro="">
      <xdr:nvGraphicFramePr>
        <xdr:cNvPr id="4" name="Chart 5">
          <a:extLst>
            <a:ext uri="{FF2B5EF4-FFF2-40B4-BE49-F238E27FC236}">
              <a16:creationId xmlns:a16="http://schemas.microsoft.com/office/drawing/2014/main" id="{DA027659-3213-0FD7-D954-027D1C07DB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504825</xdr:colOff>
      <xdr:row>12</xdr:row>
      <xdr:rowOff>104775</xdr:rowOff>
    </xdr:from>
    <xdr:to>
      <xdr:col>8</xdr:col>
      <xdr:colOff>276225</xdr:colOff>
      <xdr:row>15</xdr:row>
      <xdr:rowOff>161925</xdr:rowOff>
    </xdr:to>
    <mc:AlternateContent xmlns:mc="http://schemas.openxmlformats.org/markup-compatibility/2006" xmlns:tsle="http://schemas.microsoft.com/office/drawing/2012/timeslicer">
      <mc:Choice Requires="tsle">
        <xdr:graphicFrame macro="">
          <xdr:nvGraphicFramePr>
            <xdr:cNvPr id="7" name="Date 1">
              <a:extLst>
                <a:ext uri="{FF2B5EF4-FFF2-40B4-BE49-F238E27FC236}">
                  <a16:creationId xmlns:a16="http://schemas.microsoft.com/office/drawing/2014/main" id="{995FF641-183C-46C9-9CEB-A9155F3DC449}"/>
                </a:ext>
              </a:extLst>
            </xdr:cNvPr>
            <xdr:cNvGraphicFramePr>
              <a:graphicFrameLocks/>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504825" y="3222048"/>
              <a:ext cx="7114309" cy="836468"/>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8</xdr:col>
      <xdr:colOff>314325</xdr:colOff>
      <xdr:row>5</xdr:row>
      <xdr:rowOff>9525</xdr:rowOff>
    </xdr:from>
    <xdr:to>
      <xdr:col>11</xdr:col>
      <xdr:colOff>595125</xdr:colOff>
      <xdr:row>11</xdr:row>
      <xdr:rowOff>9525</xdr:rowOff>
    </xdr:to>
    <mc:AlternateContent xmlns:mc="http://schemas.openxmlformats.org/markup-compatibility/2006" xmlns:a14="http://schemas.microsoft.com/office/drawing/2010/main">
      <mc:Choice Requires="a14">
        <xdr:graphicFrame macro="">
          <xdr:nvGraphicFramePr>
            <xdr:cNvPr id="8" name="month 1">
              <a:extLst>
                <a:ext uri="{FF2B5EF4-FFF2-40B4-BE49-F238E27FC236}">
                  <a16:creationId xmlns:a16="http://schemas.microsoft.com/office/drawing/2014/main" id="{3F38EF55-863D-4F70-8BEC-77C25B5060FB}"/>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7657234" y="1308389"/>
              <a:ext cx="3034391" cy="15586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314325</xdr:colOff>
      <xdr:row>11</xdr:row>
      <xdr:rowOff>47625</xdr:rowOff>
    </xdr:from>
    <xdr:to>
      <xdr:col>11</xdr:col>
      <xdr:colOff>600075</xdr:colOff>
      <xdr:row>19</xdr:row>
      <xdr:rowOff>200025</xdr:rowOff>
    </xdr:to>
    <mc:AlternateContent xmlns:mc="http://schemas.openxmlformats.org/markup-compatibility/2006" xmlns:a14="http://schemas.microsoft.com/office/drawing/2010/main">
      <mc:Choice Requires="a14">
        <xdr:graphicFrame macro="">
          <xdr:nvGraphicFramePr>
            <xdr:cNvPr id="9" name="Region 1">
              <a:extLst>
                <a:ext uri="{FF2B5EF4-FFF2-40B4-BE49-F238E27FC236}">
                  <a16:creationId xmlns:a16="http://schemas.microsoft.com/office/drawing/2014/main" id="{E2FF4DDB-1E95-413E-BA5C-2246990DE7EA}"/>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7657234" y="2905125"/>
              <a:ext cx="3039341" cy="223058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323849</xdr:colOff>
      <xdr:row>19</xdr:row>
      <xdr:rowOff>257175</xdr:rowOff>
    </xdr:from>
    <xdr:to>
      <xdr:col>11</xdr:col>
      <xdr:colOff>609600</xdr:colOff>
      <xdr:row>27</xdr:row>
      <xdr:rowOff>76200</xdr:rowOff>
    </xdr:to>
    <mc:AlternateContent xmlns:mc="http://schemas.openxmlformats.org/markup-compatibility/2006" xmlns:a14="http://schemas.microsoft.com/office/drawing/2010/main">
      <mc:Choice Requires="a14">
        <xdr:graphicFrame macro="">
          <xdr:nvGraphicFramePr>
            <xdr:cNvPr id="10" name="Payment_Method 1">
              <a:extLst>
                <a:ext uri="{FF2B5EF4-FFF2-40B4-BE49-F238E27FC236}">
                  <a16:creationId xmlns:a16="http://schemas.microsoft.com/office/drawing/2014/main" id="{F2FE4085-A9E2-4566-B387-1468CF5F47DA}"/>
                </a:ext>
              </a:extLst>
            </xdr:cNvPr>
            <xdr:cNvGraphicFramePr/>
          </xdr:nvGraphicFramePr>
          <xdr:xfrm>
            <a:off x="0" y="0"/>
            <a:ext cx="0" cy="0"/>
          </xdr:xfrm>
          <a:graphic>
            <a:graphicData uri="http://schemas.microsoft.com/office/drawing/2010/slicer">
              <sle:slicer xmlns:sle="http://schemas.microsoft.com/office/drawing/2010/slicer" name="Payment_Method 1"/>
            </a:graphicData>
          </a:graphic>
        </xdr:graphicFrame>
      </mc:Choice>
      <mc:Fallback xmlns="">
        <xdr:sp macro="" textlink="">
          <xdr:nvSpPr>
            <xdr:cNvPr id="0" name=""/>
            <xdr:cNvSpPr>
              <a:spLocks noTextEdit="1"/>
            </xdr:cNvSpPr>
          </xdr:nvSpPr>
          <xdr:spPr>
            <a:xfrm>
              <a:off x="7666758" y="5192857"/>
              <a:ext cx="3039342" cy="189720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502526</xdr:colOff>
      <xdr:row>16</xdr:row>
      <xdr:rowOff>0</xdr:rowOff>
    </xdr:from>
    <xdr:to>
      <xdr:col>5</xdr:col>
      <xdr:colOff>0</xdr:colOff>
      <xdr:row>25</xdr:row>
      <xdr:rowOff>263744</xdr:rowOff>
    </xdr:to>
    <xdr:graphicFrame macro="">
      <xdr:nvGraphicFramePr>
        <xdr:cNvPr id="11" name="Chart 1">
          <a:extLst>
            <a:ext uri="{FF2B5EF4-FFF2-40B4-BE49-F238E27FC236}">
              <a16:creationId xmlns:a16="http://schemas.microsoft.com/office/drawing/2014/main" id="{AA9913DD-A1C8-5442-CDD2-2B489DA385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542925</xdr:colOff>
      <xdr:row>15</xdr:row>
      <xdr:rowOff>258489</xdr:rowOff>
    </xdr:from>
    <xdr:to>
      <xdr:col>8</xdr:col>
      <xdr:colOff>0</xdr:colOff>
      <xdr:row>26</xdr:row>
      <xdr:rowOff>28575</xdr:rowOff>
    </xdr:to>
    <xdr:graphicFrame macro="">
      <xdr:nvGraphicFramePr>
        <xdr:cNvPr id="12" name="Chart 2">
          <a:extLst>
            <a:ext uri="{FF2B5EF4-FFF2-40B4-BE49-F238E27FC236}">
              <a16:creationId xmlns:a16="http://schemas.microsoft.com/office/drawing/2014/main" id="{D1B5C1BA-4199-0004-E129-828DB5AC49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93.114930208336" createdVersion="8" refreshedVersion="8" minRefreshableVersion="3" recordCount="250" xr:uid="{19AC8BDC-01C7-452A-8584-2FDD48646A4F}">
  <cacheSource type="worksheet">
    <worksheetSource ref="A1:B251" sheet="PIVOT TABLE"/>
  </cacheSource>
  <cacheFields count="2">
    <cacheField name="Region" numFmtId="0">
      <sharedItems count="5">
        <s v="Central"/>
        <s v="South"/>
        <s v="North"/>
        <s v="West"/>
        <s v="East"/>
      </sharedItems>
    </cacheField>
    <cacheField name="Total_Amount" numFmtId="2">
      <sharedItems containsSemiMixedTypes="0" containsString="0" containsNumber="1" minValue="59.99" maxValue="4499.95"/>
    </cacheField>
  </cacheFields>
  <extLst>
    <ext xmlns:x14="http://schemas.microsoft.com/office/spreadsheetml/2009/9/main" uri="{725AE2AE-9491-48be-B2B4-4EB974FC3084}">
      <x14:pivotCacheDefinition pivotCacheId="174144604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93.119481250003" createdVersion="8" refreshedVersion="8" minRefreshableVersion="3" recordCount="250" xr:uid="{E79818DA-8353-4244-BA6D-70E42B9B00AC}">
  <cacheSource type="worksheet">
    <worksheetSource ref="B1:C251" sheet="PIVOT TABLE"/>
  </cacheSource>
  <cacheFields count="2">
    <cacheField name="Total_Amount" numFmtId="2">
      <sharedItems containsSemiMixedTypes="0" containsString="0" containsNumber="1" minValue="59.99" maxValue="4499.95"/>
    </cacheField>
    <cacheField name="Category" numFmtId="0">
      <sharedItems count="3">
        <s v="Electronics"/>
        <s v="Appliances"/>
        <s v="Furniture"/>
      </sharedItems>
    </cacheField>
  </cacheFields>
  <extLst>
    <ext xmlns:x14="http://schemas.microsoft.com/office/spreadsheetml/2009/9/main" uri="{725AE2AE-9491-48be-B2B4-4EB974FC3084}">
      <x14:pivotCacheDefinition pivotCacheId="465968568"/>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93.127831134261" createdVersion="8" refreshedVersion="8" minRefreshableVersion="3" recordCount="250" xr:uid="{1849FF31-95FE-4482-BEA6-4AC6CC015806}">
  <cacheSource type="worksheet">
    <worksheetSource ref="D1:E251" sheet="Sheet11"/>
  </cacheSource>
  <cacheFields count="2">
    <cacheField name="Payment_Method" numFmtId="0">
      <sharedItems count="4">
        <s v="Cash"/>
        <s v="Credit Card"/>
        <s v="PayPal"/>
        <s v="Debit Card"/>
      </sharedItems>
    </cacheField>
    <cacheField name="Total_Amount" numFmtId="2">
      <sharedItems containsSemiMixedTypes="0" containsString="0" containsNumber="1" minValue="59.99" maxValue="4499.95" count="44">
        <n v="749.97"/>
        <n v="179.97"/>
        <n v="749.95"/>
        <n v="119.98"/>
        <n v="2699.97"/>
        <n v="149.99"/>
        <n v="449.97"/>
        <n v="2099.9699999999998"/>
        <n v="899.99"/>
        <n v="599.96"/>
        <n v="1399.98"/>
        <n v="3599.96"/>
        <n v="3499.95"/>
        <n v="2799.96"/>
        <n v="999.96"/>
        <n v="1199.96"/>
        <n v="1249.95"/>
        <n v="1499.95"/>
        <n v="239.97"/>
        <n v="449.95"/>
        <n v="239.96"/>
        <n v="999.95"/>
        <n v="299.98"/>
        <n v="899.97"/>
        <n v="599.97"/>
        <n v="269.97000000000003"/>
        <n v="79.989999999999995"/>
        <n v="89.99"/>
        <n v="179.98"/>
        <n v="4499.95"/>
        <n v="59.99"/>
        <n v="599.98"/>
        <n v="359.96"/>
        <n v="399.95"/>
        <n v="299.99"/>
        <n v="399.98"/>
        <n v="499.98"/>
        <n v="799.96"/>
        <n v="699.99"/>
        <n v="249.99"/>
        <n v="319.95999999999998"/>
        <n v="199.99"/>
        <n v="299.95"/>
        <n v="1799.98"/>
      </sharedItems>
    </cacheField>
  </cacheFields>
  <extLst>
    <ext xmlns:x14="http://schemas.microsoft.com/office/spreadsheetml/2009/9/main" uri="{725AE2AE-9491-48be-B2B4-4EB974FC3084}">
      <x14:pivotCacheDefinition pivotCacheId="1251398149"/>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93.160457291669" createdVersion="8" refreshedVersion="8" minRefreshableVersion="3" recordCount="250" xr:uid="{2D76E70C-720D-4269-B85D-EC73081A41AA}">
  <cacheSource type="worksheet">
    <worksheetSource ref="N1:O251" sheet="PIVOT TABLE"/>
  </cacheSource>
  <cacheFields count="2">
    <cacheField name="month" numFmtId="14">
      <sharedItems count="12">
        <s v="April"/>
        <s v="May"/>
        <s v="June"/>
        <s v="July"/>
        <s v="August"/>
        <s v="September"/>
        <s v="October"/>
        <s v="November"/>
        <s v="December"/>
        <s v="January"/>
        <s v="February"/>
        <s v="March"/>
      </sharedItems>
    </cacheField>
    <cacheField name="Total_Amount" numFmtId="2">
      <sharedItems containsSemiMixedTypes="0" containsString="0" containsNumber="1" minValue="59.99" maxValue="4499.95"/>
    </cacheField>
  </cacheFields>
  <extLst>
    <ext xmlns:x14="http://schemas.microsoft.com/office/spreadsheetml/2009/9/main" uri="{725AE2AE-9491-48be-B2B4-4EB974FC3084}">
      <x14:pivotCacheDefinition pivotCacheId="558425774"/>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93.12212453704" createdVersion="8" refreshedVersion="8" minRefreshableVersion="3" recordCount="250" xr:uid="{56B2AFF8-E972-4405-9A9B-703CE88574BF}">
  <cacheSource type="worksheet">
    <worksheetSource ref="A1:C251" sheet="Sheet11"/>
  </cacheSource>
  <cacheFields count="6">
    <cacheField name="Date" numFmtId="14">
      <sharedItems containsSemiMixedTypes="0" containsNonDate="0" containsDate="1" containsString="0" minDate="2024-04-11T00:00:00" maxDate="2025-04-12T00:00:00" count="162">
        <d v="2024-04-11T00:00:00"/>
        <d v="2024-04-14T00:00:00"/>
        <d v="2024-04-17T00:00:00"/>
        <d v="2024-04-18T00:00:00"/>
        <d v="2024-04-21T00:00:00"/>
        <d v="2024-04-23T00:00:00"/>
        <d v="2024-04-26T00:00:00"/>
        <d v="2024-04-27T00:00:00"/>
        <d v="2024-04-28T00:00:00"/>
        <d v="2024-04-30T00:00:00"/>
        <d v="2024-05-01T00:00:00"/>
        <d v="2024-05-03T00:00:00"/>
        <d v="2024-05-04T00:00:00"/>
        <d v="2024-05-10T00:00:00"/>
        <d v="2024-05-12T00:00:00"/>
        <d v="2024-05-13T00:00:00"/>
        <d v="2024-05-15T00:00:00"/>
        <d v="2024-05-16T00:00:00"/>
        <d v="2024-05-18T00:00:00"/>
        <d v="2024-05-20T00:00:00"/>
        <d v="2024-05-22T00:00:00"/>
        <d v="2024-05-23T00:00:00"/>
        <d v="2024-05-26T00:00:00"/>
        <d v="2024-05-28T00:00:00"/>
        <d v="2024-05-29T00:00:00"/>
        <d v="2024-05-31T00:00:00"/>
        <d v="2024-06-01T00:00:00"/>
        <d v="2024-06-03T00:00:00"/>
        <d v="2024-06-06T00:00:00"/>
        <d v="2024-06-07T00:00:00"/>
        <d v="2024-06-09T00:00:00"/>
        <d v="2024-06-13T00:00:00"/>
        <d v="2024-06-16T00:00:00"/>
        <d v="2024-06-17T00:00:00"/>
        <d v="2024-06-25T00:00:00"/>
        <d v="2024-06-26T00:00:00"/>
        <d v="2024-06-28T00:00:00"/>
        <d v="2024-06-29T00:00:00"/>
        <d v="2024-07-01T00:00:00"/>
        <d v="2024-07-02T00:00:00"/>
        <d v="2024-07-03T00:00:00"/>
        <d v="2024-07-08T00:00:00"/>
        <d v="2024-07-09T00:00:00"/>
        <d v="2024-07-11T00:00:00"/>
        <d v="2024-07-14T00:00:00"/>
        <d v="2024-07-17T00:00:00"/>
        <d v="2024-07-18T00:00:00"/>
        <d v="2024-07-23T00:00:00"/>
        <d v="2024-07-24T00:00:00"/>
        <d v="2024-07-25T00:00:00"/>
        <d v="2024-07-27T00:00:00"/>
        <d v="2024-07-28T00:00:00"/>
        <d v="2024-07-30T00:00:00"/>
        <d v="2024-07-31T00:00:00"/>
        <d v="2024-08-05T00:00:00"/>
        <d v="2024-08-06T00:00:00"/>
        <d v="2024-08-09T00:00:00"/>
        <d v="2024-08-11T00:00:00"/>
        <d v="2024-08-13T00:00:00"/>
        <d v="2024-08-15T00:00:00"/>
        <d v="2024-08-18T00:00:00"/>
        <d v="2024-08-19T00:00:00"/>
        <d v="2024-08-22T00:00:00"/>
        <d v="2024-08-24T00:00:00"/>
        <d v="2024-08-28T00:00:00"/>
        <d v="2024-08-30T00:00:00"/>
        <d v="2024-09-02T00:00:00"/>
        <d v="2024-09-03T00:00:00"/>
        <d v="2024-09-06T00:00:00"/>
        <d v="2024-09-09T00:00:00"/>
        <d v="2024-09-10T00:00:00"/>
        <d v="2024-09-12T00:00:00"/>
        <d v="2024-09-13T00:00:00"/>
        <d v="2024-09-15T00:00:00"/>
        <d v="2024-09-16T00:00:00"/>
        <d v="2024-09-19T00:00:00"/>
        <d v="2024-09-24T00:00:00"/>
        <d v="2024-09-25T00:00:00"/>
        <d v="2024-09-28T00:00:00"/>
        <d v="2024-09-29T00:00:00"/>
        <d v="2024-10-01T00:00:00"/>
        <d v="2024-10-07T00:00:00"/>
        <d v="2024-10-08T00:00:00"/>
        <d v="2024-10-11T00:00:00"/>
        <d v="2024-10-14T00:00:00"/>
        <d v="2024-10-16T00:00:00"/>
        <d v="2024-10-18T00:00:00"/>
        <d v="2024-10-21T00:00:00"/>
        <d v="2024-10-23T00:00:00"/>
        <d v="2024-10-24T00:00:00"/>
        <d v="2024-10-27T00:00:00"/>
        <d v="2024-11-01T00:00:00"/>
        <d v="2024-11-04T00:00:00"/>
        <d v="2024-11-07T00:00:00"/>
        <d v="2024-11-08T00:00:00"/>
        <d v="2024-11-09T00:00:00"/>
        <d v="2024-11-11T00:00:00"/>
        <d v="2024-11-12T00:00:00"/>
        <d v="2024-11-17T00:00:00"/>
        <d v="2024-11-21T00:00:00"/>
        <d v="2024-11-23T00:00:00"/>
        <d v="2024-11-26T00:00:00"/>
        <d v="2024-11-27T00:00:00"/>
        <d v="2024-12-01T00:00:00"/>
        <d v="2024-12-03T00:00:00"/>
        <d v="2024-12-04T00:00:00"/>
        <d v="2024-12-09T00:00:00"/>
        <d v="2024-12-10T00:00:00"/>
        <d v="2024-12-12T00:00:00"/>
        <d v="2024-12-15T00:00:00"/>
        <d v="2024-12-18T00:00:00"/>
        <d v="2024-12-19T00:00:00"/>
        <d v="2024-12-20T00:00:00"/>
        <d v="2024-12-22T00:00:00"/>
        <d v="2024-12-23T00:00:00"/>
        <d v="2024-12-28T00:00:00"/>
        <d v="2024-12-29T00:00:00"/>
        <d v="2024-12-31T00:00:00"/>
        <d v="2025-01-03T00:00:00"/>
        <d v="2025-01-04T00:00:00"/>
        <d v="2025-01-06T00:00:00"/>
        <d v="2025-01-09T00:00:00"/>
        <d v="2025-01-10T00:00:00"/>
        <d v="2025-01-11T00:00:00"/>
        <d v="2025-01-13T00:00:00"/>
        <d v="2025-01-14T00:00:00"/>
        <d v="2025-01-16T00:00:00"/>
        <d v="2025-01-19T00:00:00"/>
        <d v="2025-01-25T00:00:00"/>
        <d v="2025-01-26T00:00:00"/>
        <d v="2025-01-29T00:00:00"/>
        <d v="2025-01-31T00:00:00"/>
        <d v="2025-02-04T00:00:00"/>
        <d v="2025-02-07T00:00:00"/>
        <d v="2025-02-08T00:00:00"/>
        <d v="2025-02-13T00:00:00"/>
        <d v="2025-02-16T00:00:00"/>
        <d v="2025-02-17T00:00:00"/>
        <d v="2025-02-19T00:00:00"/>
        <d v="2025-02-20T00:00:00"/>
        <d v="2025-02-22T00:00:00"/>
        <d v="2025-02-23T00:00:00"/>
        <d v="2025-02-24T00:00:00"/>
        <d v="2025-02-27T00:00:00"/>
        <d v="2025-03-02T00:00:00"/>
        <d v="2025-03-04T00:00:00"/>
        <d v="2025-03-05T00:00:00"/>
        <d v="2025-03-07T00:00:00"/>
        <d v="2025-03-08T00:00:00"/>
        <d v="2025-03-10T00:00:00"/>
        <d v="2025-03-18T00:00:00"/>
        <d v="2025-03-21T00:00:00"/>
        <d v="2025-03-23T00:00:00"/>
        <d v="2025-03-24T00:00:00"/>
        <d v="2025-03-27T00:00:00"/>
        <d v="2025-03-29T00:00:00"/>
        <d v="2025-03-30T00:00:00"/>
        <d v="2025-04-01T00:00:00"/>
        <d v="2025-04-02T00:00:00"/>
        <d v="2025-04-08T00:00:00"/>
        <d v="2025-04-09T00:00:00"/>
        <d v="2025-04-11T00:00:00"/>
      </sharedItems>
      <fieldGroup par="5"/>
    </cacheField>
    <cacheField name="month" numFmtId="14">
      <sharedItems count="12">
        <s v="April"/>
        <s v="May"/>
        <s v="June"/>
        <s v="July"/>
        <s v="August"/>
        <s v="September"/>
        <s v="October"/>
        <s v="November"/>
        <s v="December"/>
        <s v="January"/>
        <s v="February"/>
        <s v="March"/>
      </sharedItems>
    </cacheField>
    <cacheField name="Total_Amount" numFmtId="2">
      <sharedItems containsSemiMixedTypes="0" containsString="0" containsNumber="1" minValue="59.99" maxValue="4499.95" count="44">
        <n v="749.97"/>
        <n v="179.97"/>
        <n v="749.95"/>
        <n v="119.98"/>
        <n v="2699.97"/>
        <n v="149.99"/>
        <n v="449.97"/>
        <n v="2099.9699999999998"/>
        <n v="899.99"/>
        <n v="599.96"/>
        <n v="1399.98"/>
        <n v="3599.96"/>
        <n v="3499.95"/>
        <n v="2799.96"/>
        <n v="999.96"/>
        <n v="1199.96"/>
        <n v="1249.95"/>
        <n v="1499.95"/>
        <n v="239.97"/>
        <n v="449.95"/>
        <n v="239.96"/>
        <n v="999.95"/>
        <n v="299.98"/>
        <n v="899.97"/>
        <n v="599.97"/>
        <n v="269.97000000000003"/>
        <n v="79.989999999999995"/>
        <n v="89.99"/>
        <n v="179.98"/>
        <n v="4499.95"/>
        <n v="59.99"/>
        <n v="599.98"/>
        <n v="359.96"/>
        <n v="399.95"/>
        <n v="299.99"/>
        <n v="399.98"/>
        <n v="499.98"/>
        <n v="799.96"/>
        <n v="699.99"/>
        <n v="249.99"/>
        <n v="319.95999999999998"/>
        <n v="199.99"/>
        <n v="299.95"/>
        <n v="1799.98"/>
      </sharedItems>
    </cacheField>
    <cacheField name="Months (Date)" numFmtId="0" databaseField="0">
      <fieldGroup base="0">
        <rangePr groupBy="months" startDate="2024-04-11T00:00:00" endDate="2025-04-12T00:00:00"/>
        <groupItems count="14">
          <s v="&lt;11-04-2024"/>
          <s v="Jan"/>
          <s v="Feb"/>
          <s v="Mar"/>
          <s v="Apr"/>
          <s v="May"/>
          <s v="Jun"/>
          <s v="Jul"/>
          <s v="Aug"/>
          <s v="Sep"/>
          <s v="Oct"/>
          <s v="Nov"/>
          <s v="Dec"/>
          <s v="&gt;12-04-2025"/>
        </groupItems>
      </fieldGroup>
    </cacheField>
    <cacheField name="Quarters (Date)" numFmtId="0" databaseField="0">
      <fieldGroup base="0">
        <rangePr groupBy="quarters" startDate="2024-04-11T00:00:00" endDate="2025-04-12T00:00:00"/>
        <groupItems count="6">
          <s v="&lt;11-04-2024"/>
          <s v="Qtr1"/>
          <s v="Qtr2"/>
          <s v="Qtr3"/>
          <s v="Qtr4"/>
          <s v="&gt;12-04-2025"/>
        </groupItems>
      </fieldGroup>
    </cacheField>
    <cacheField name="Years (Date)" numFmtId="0" databaseField="0">
      <fieldGroup base="0">
        <rangePr groupBy="years" startDate="2024-04-11T00:00:00" endDate="2025-04-12T00:00:00"/>
        <groupItems count="4">
          <s v="&lt;11-04-2024"/>
          <s v="2024"/>
          <s v="2025"/>
          <s v="&gt;12-04-2025"/>
        </groupItems>
      </fieldGroup>
    </cacheField>
  </cacheFields>
  <extLst>
    <ext xmlns:x14="http://schemas.microsoft.com/office/spreadsheetml/2009/9/main" uri="{725AE2AE-9491-48be-B2B4-4EB974FC3084}">
      <x14:pivotCacheDefinition pivotCacheId="84380583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
  <r>
    <x v="0"/>
    <n v="749.97"/>
  </r>
  <r>
    <x v="0"/>
    <n v="749.97"/>
  </r>
  <r>
    <x v="1"/>
    <n v="179.97"/>
  </r>
  <r>
    <x v="2"/>
    <n v="179.97"/>
  </r>
  <r>
    <x v="2"/>
    <n v="749.95"/>
  </r>
  <r>
    <x v="3"/>
    <n v="119.98"/>
  </r>
  <r>
    <x v="0"/>
    <n v="749.95"/>
  </r>
  <r>
    <x v="1"/>
    <n v="179.97"/>
  </r>
  <r>
    <x v="4"/>
    <n v="2699.97"/>
  </r>
  <r>
    <x v="3"/>
    <n v="179.97"/>
  </r>
  <r>
    <x v="3"/>
    <n v="149.99"/>
  </r>
  <r>
    <x v="2"/>
    <n v="749.95"/>
  </r>
  <r>
    <x v="2"/>
    <n v="449.97"/>
  </r>
  <r>
    <x v="2"/>
    <n v="179.97"/>
  </r>
  <r>
    <x v="3"/>
    <n v="2099.9699999999998"/>
  </r>
  <r>
    <x v="2"/>
    <n v="899.99"/>
  </r>
  <r>
    <x v="2"/>
    <n v="599.96"/>
  </r>
  <r>
    <x v="2"/>
    <n v="1399.98"/>
  </r>
  <r>
    <x v="3"/>
    <n v="3599.96"/>
  </r>
  <r>
    <x v="2"/>
    <n v="749.97"/>
  </r>
  <r>
    <x v="3"/>
    <n v="3499.95"/>
  </r>
  <r>
    <x v="4"/>
    <n v="2799.96"/>
  </r>
  <r>
    <x v="2"/>
    <n v="999.96"/>
  </r>
  <r>
    <x v="3"/>
    <n v="1199.96"/>
  </r>
  <r>
    <x v="3"/>
    <n v="1249.95"/>
  </r>
  <r>
    <x v="4"/>
    <n v="1499.95"/>
  </r>
  <r>
    <x v="4"/>
    <n v="239.97"/>
  </r>
  <r>
    <x v="2"/>
    <n v="449.95"/>
  </r>
  <r>
    <x v="0"/>
    <n v="119.98"/>
  </r>
  <r>
    <x v="4"/>
    <n v="239.96"/>
  </r>
  <r>
    <x v="1"/>
    <n v="999.95"/>
  </r>
  <r>
    <x v="3"/>
    <n v="299.98"/>
  </r>
  <r>
    <x v="3"/>
    <n v="449.97"/>
  </r>
  <r>
    <x v="3"/>
    <n v="899.99"/>
  </r>
  <r>
    <x v="4"/>
    <n v="899.97"/>
  </r>
  <r>
    <x v="1"/>
    <n v="239.97"/>
  </r>
  <r>
    <x v="2"/>
    <n v="599.97"/>
  </r>
  <r>
    <x v="3"/>
    <n v="3499.95"/>
  </r>
  <r>
    <x v="0"/>
    <n v="269.97000000000003"/>
  </r>
  <r>
    <x v="2"/>
    <n v="79.989999999999995"/>
  </r>
  <r>
    <x v="3"/>
    <n v="119.98"/>
  </r>
  <r>
    <x v="2"/>
    <n v="89.99"/>
  </r>
  <r>
    <x v="4"/>
    <n v="449.95"/>
  </r>
  <r>
    <x v="4"/>
    <n v="1249.95"/>
  </r>
  <r>
    <x v="1"/>
    <n v="89.99"/>
  </r>
  <r>
    <x v="4"/>
    <n v="299.98"/>
  </r>
  <r>
    <x v="4"/>
    <n v="239.96"/>
  </r>
  <r>
    <x v="0"/>
    <n v="449.95"/>
  </r>
  <r>
    <x v="1"/>
    <n v="179.98"/>
  </r>
  <r>
    <x v="1"/>
    <n v="4499.95"/>
  </r>
  <r>
    <x v="4"/>
    <n v="4499.95"/>
  </r>
  <r>
    <x v="3"/>
    <n v="59.99"/>
  </r>
  <r>
    <x v="4"/>
    <n v="599.98"/>
  </r>
  <r>
    <x v="1"/>
    <n v="359.96"/>
  </r>
  <r>
    <x v="0"/>
    <n v="79.989999999999995"/>
  </r>
  <r>
    <x v="3"/>
    <n v="179.98"/>
  </r>
  <r>
    <x v="4"/>
    <n v="2099.9699999999998"/>
  </r>
  <r>
    <x v="4"/>
    <n v="3599.96"/>
  </r>
  <r>
    <x v="4"/>
    <n v="149.99"/>
  </r>
  <r>
    <x v="0"/>
    <n v="179.98"/>
  </r>
  <r>
    <x v="3"/>
    <n v="89.99"/>
  </r>
  <r>
    <x v="1"/>
    <n v="89.99"/>
  </r>
  <r>
    <x v="0"/>
    <n v="399.95"/>
  </r>
  <r>
    <x v="2"/>
    <n v="149.99"/>
  </r>
  <r>
    <x v="4"/>
    <n v="1399.98"/>
  </r>
  <r>
    <x v="2"/>
    <n v="449.95"/>
  </r>
  <r>
    <x v="1"/>
    <n v="239.96"/>
  </r>
  <r>
    <x v="0"/>
    <n v="149.99"/>
  </r>
  <r>
    <x v="2"/>
    <n v="299.99"/>
  </r>
  <r>
    <x v="2"/>
    <n v="399.98"/>
  </r>
  <r>
    <x v="3"/>
    <n v="179.97"/>
  </r>
  <r>
    <x v="0"/>
    <n v="449.97"/>
  </r>
  <r>
    <x v="2"/>
    <n v="599.97"/>
  </r>
  <r>
    <x v="0"/>
    <n v="899.99"/>
  </r>
  <r>
    <x v="1"/>
    <n v="4499.95"/>
  </r>
  <r>
    <x v="2"/>
    <n v="119.98"/>
  </r>
  <r>
    <x v="0"/>
    <n v="999.96"/>
  </r>
  <r>
    <x v="2"/>
    <n v="499.98"/>
  </r>
  <r>
    <x v="1"/>
    <n v="299.99"/>
  </r>
  <r>
    <x v="1"/>
    <n v="179.98"/>
  </r>
  <r>
    <x v="0"/>
    <n v="899.97"/>
  </r>
  <r>
    <x v="2"/>
    <n v="1399.98"/>
  </r>
  <r>
    <x v="1"/>
    <n v="3599.96"/>
  </r>
  <r>
    <x v="3"/>
    <n v="299.98"/>
  </r>
  <r>
    <x v="4"/>
    <n v="299.98"/>
  </r>
  <r>
    <x v="2"/>
    <n v="89.99"/>
  </r>
  <r>
    <x v="2"/>
    <n v="1499.95"/>
  </r>
  <r>
    <x v="1"/>
    <n v="599.96"/>
  </r>
  <r>
    <x v="4"/>
    <n v="1249.95"/>
  </r>
  <r>
    <x v="2"/>
    <n v="749.97"/>
  </r>
  <r>
    <x v="2"/>
    <n v="799.96"/>
  </r>
  <r>
    <x v="2"/>
    <n v="999.95"/>
  </r>
  <r>
    <x v="4"/>
    <n v="179.98"/>
  </r>
  <r>
    <x v="4"/>
    <n v="4499.95"/>
  </r>
  <r>
    <x v="4"/>
    <n v="449.97"/>
  </r>
  <r>
    <x v="0"/>
    <n v="749.95"/>
  </r>
  <r>
    <x v="0"/>
    <n v="239.97"/>
  </r>
  <r>
    <x v="1"/>
    <n v="499.98"/>
  </r>
  <r>
    <x v="0"/>
    <n v="699.99"/>
  </r>
  <r>
    <x v="3"/>
    <n v="449.97"/>
  </r>
  <r>
    <x v="2"/>
    <n v="1399.98"/>
  </r>
  <r>
    <x v="3"/>
    <n v="249.99"/>
  </r>
  <r>
    <x v="2"/>
    <n v="249.99"/>
  </r>
  <r>
    <x v="0"/>
    <n v="1399.98"/>
  </r>
  <r>
    <x v="0"/>
    <n v="179.97"/>
  </r>
  <r>
    <x v="4"/>
    <n v="179.97"/>
  </r>
  <r>
    <x v="2"/>
    <n v="319.95999999999998"/>
  </r>
  <r>
    <x v="3"/>
    <n v="79.989999999999995"/>
  </r>
  <r>
    <x v="0"/>
    <n v="899.97"/>
  </r>
  <r>
    <x v="1"/>
    <n v="179.98"/>
  </r>
  <r>
    <x v="2"/>
    <n v="599.96"/>
  </r>
  <r>
    <x v="1"/>
    <n v="499.98"/>
  </r>
  <r>
    <x v="4"/>
    <n v="799.96"/>
  </r>
  <r>
    <x v="4"/>
    <n v="449.95"/>
  </r>
  <r>
    <x v="4"/>
    <n v="149.99"/>
  </r>
  <r>
    <x v="1"/>
    <n v="2799.96"/>
  </r>
  <r>
    <x v="2"/>
    <n v="2699.97"/>
  </r>
  <r>
    <x v="4"/>
    <n v="449.97"/>
  </r>
  <r>
    <x v="0"/>
    <n v="599.98"/>
  </r>
  <r>
    <x v="4"/>
    <n v="199.99"/>
  </r>
  <r>
    <x v="0"/>
    <n v="1199.96"/>
  </r>
  <r>
    <x v="0"/>
    <n v="119.98"/>
  </r>
  <r>
    <x v="2"/>
    <n v="599.96"/>
  </r>
  <r>
    <x v="4"/>
    <n v="1399.98"/>
  </r>
  <r>
    <x v="1"/>
    <n v="449.97"/>
  </r>
  <r>
    <x v="0"/>
    <n v="899.97"/>
  </r>
  <r>
    <x v="3"/>
    <n v="2699.97"/>
  </r>
  <r>
    <x v="4"/>
    <n v="3499.95"/>
  </r>
  <r>
    <x v="0"/>
    <n v="2799.96"/>
  </r>
  <r>
    <x v="4"/>
    <n v="899.99"/>
  </r>
  <r>
    <x v="3"/>
    <n v="299.98"/>
  </r>
  <r>
    <x v="0"/>
    <n v="269.97000000000003"/>
  </r>
  <r>
    <x v="0"/>
    <n v="299.98"/>
  </r>
  <r>
    <x v="0"/>
    <n v="1399.98"/>
  </r>
  <r>
    <x v="2"/>
    <n v="3499.95"/>
  </r>
  <r>
    <x v="2"/>
    <n v="269.97000000000003"/>
  </r>
  <r>
    <x v="1"/>
    <n v="1249.95"/>
  </r>
  <r>
    <x v="1"/>
    <n v="899.97"/>
  </r>
  <r>
    <x v="2"/>
    <n v="269.97000000000003"/>
  </r>
  <r>
    <x v="3"/>
    <n v="299.98"/>
  </r>
  <r>
    <x v="2"/>
    <n v="249.99"/>
  </r>
  <r>
    <x v="2"/>
    <n v="449.97"/>
  </r>
  <r>
    <x v="3"/>
    <n v="299.95"/>
  </r>
  <r>
    <x v="3"/>
    <n v="999.96"/>
  </r>
  <r>
    <x v="0"/>
    <n v="749.95"/>
  </r>
  <r>
    <x v="1"/>
    <n v="179.97"/>
  </r>
  <r>
    <x v="2"/>
    <n v="749.95"/>
  </r>
  <r>
    <x v="3"/>
    <n v="1399.98"/>
  </r>
  <r>
    <x v="0"/>
    <n v="799.96"/>
  </r>
  <r>
    <x v="3"/>
    <n v="59.99"/>
  </r>
  <r>
    <x v="3"/>
    <n v="2099.9699999999998"/>
  </r>
  <r>
    <x v="2"/>
    <n v="1249.95"/>
  </r>
  <r>
    <x v="1"/>
    <n v="299.98"/>
  </r>
  <r>
    <x v="1"/>
    <n v="899.97"/>
  </r>
  <r>
    <x v="0"/>
    <n v="1249.95"/>
  </r>
  <r>
    <x v="1"/>
    <n v="299.98"/>
  </r>
  <r>
    <x v="3"/>
    <n v="3499.95"/>
  </r>
  <r>
    <x v="4"/>
    <n v="999.96"/>
  </r>
  <r>
    <x v="2"/>
    <n v="2799.96"/>
  </r>
  <r>
    <x v="0"/>
    <n v="499.98"/>
  </r>
  <r>
    <x v="0"/>
    <n v="179.97"/>
  </r>
  <r>
    <x v="4"/>
    <n v="319.95999999999998"/>
  </r>
  <r>
    <x v="4"/>
    <n v="239.97"/>
  </r>
  <r>
    <x v="2"/>
    <n v="1799.98"/>
  </r>
  <r>
    <x v="4"/>
    <n v="149.99"/>
  </r>
  <r>
    <x v="4"/>
    <n v="599.98"/>
  </r>
  <r>
    <x v="3"/>
    <n v="119.98"/>
  </r>
  <r>
    <x v="0"/>
    <n v="89.99"/>
  </r>
  <r>
    <x v="4"/>
    <n v="4499.95"/>
  </r>
  <r>
    <x v="1"/>
    <n v="299.98"/>
  </r>
  <r>
    <x v="3"/>
    <n v="299.98"/>
  </r>
  <r>
    <x v="2"/>
    <n v="449.97"/>
  </r>
  <r>
    <x v="1"/>
    <n v="599.98"/>
  </r>
  <r>
    <x v="3"/>
    <n v="599.98"/>
  </r>
  <r>
    <x v="0"/>
    <n v="799.96"/>
  </r>
  <r>
    <x v="1"/>
    <n v="89.99"/>
  </r>
  <r>
    <x v="0"/>
    <n v="749.95"/>
  </r>
  <r>
    <x v="2"/>
    <n v="899.99"/>
  </r>
  <r>
    <x v="1"/>
    <n v="179.98"/>
  </r>
  <r>
    <x v="2"/>
    <n v="899.99"/>
  </r>
  <r>
    <x v="4"/>
    <n v="749.95"/>
  </r>
  <r>
    <x v="1"/>
    <n v="899.97"/>
  </r>
  <r>
    <x v="0"/>
    <n v="2099.9699999999998"/>
  </r>
  <r>
    <x v="0"/>
    <n v="999.95"/>
  </r>
  <r>
    <x v="1"/>
    <n v="1249.95"/>
  </r>
  <r>
    <x v="4"/>
    <n v="599.96"/>
  </r>
  <r>
    <x v="2"/>
    <n v="2099.9699999999998"/>
  </r>
  <r>
    <x v="1"/>
    <n v="79.989999999999995"/>
  </r>
  <r>
    <x v="2"/>
    <n v="299.99"/>
  </r>
  <r>
    <x v="2"/>
    <n v="999.96"/>
  </r>
  <r>
    <x v="2"/>
    <n v="299.98"/>
  </r>
  <r>
    <x v="1"/>
    <n v="899.97"/>
  </r>
  <r>
    <x v="1"/>
    <n v="799.96"/>
  </r>
  <r>
    <x v="0"/>
    <n v="1499.95"/>
  </r>
  <r>
    <x v="4"/>
    <n v="449.97"/>
  </r>
  <r>
    <x v="4"/>
    <n v="299.95"/>
  </r>
  <r>
    <x v="4"/>
    <n v="239.96"/>
  </r>
  <r>
    <x v="0"/>
    <n v="999.96"/>
  </r>
  <r>
    <x v="0"/>
    <n v="3599.96"/>
  </r>
  <r>
    <x v="3"/>
    <n v="899.97"/>
  </r>
  <r>
    <x v="0"/>
    <n v="1399.98"/>
  </r>
  <r>
    <x v="3"/>
    <n v="2799.96"/>
  </r>
  <r>
    <x v="1"/>
    <n v="179.98"/>
  </r>
  <r>
    <x v="1"/>
    <n v="269.97000000000003"/>
  </r>
  <r>
    <x v="0"/>
    <n v="59.99"/>
  </r>
  <r>
    <x v="2"/>
    <n v="449.97"/>
  </r>
  <r>
    <x v="1"/>
    <n v="1499.95"/>
  </r>
  <r>
    <x v="0"/>
    <n v="299.95"/>
  </r>
  <r>
    <x v="4"/>
    <n v="239.97"/>
  </r>
  <r>
    <x v="0"/>
    <n v="599.97"/>
  </r>
  <r>
    <x v="0"/>
    <n v="179.98"/>
  </r>
  <r>
    <x v="1"/>
    <n v="299.98"/>
  </r>
  <r>
    <x v="1"/>
    <n v="3499.95"/>
  </r>
  <r>
    <x v="0"/>
    <n v="449.97"/>
  </r>
  <r>
    <x v="4"/>
    <n v="2699.97"/>
  </r>
  <r>
    <x v="3"/>
    <n v="599.97"/>
  </r>
  <r>
    <x v="3"/>
    <n v="1499.95"/>
  </r>
  <r>
    <x v="3"/>
    <n v="699.99"/>
  </r>
  <r>
    <x v="2"/>
    <n v="699.99"/>
  </r>
  <r>
    <x v="2"/>
    <n v="599.96"/>
  </r>
  <r>
    <x v="3"/>
    <n v="449.95"/>
  </r>
  <r>
    <x v="0"/>
    <n v="399.98"/>
  </r>
  <r>
    <x v="3"/>
    <n v="239.96"/>
  </r>
  <r>
    <x v="1"/>
    <n v="599.98"/>
  </r>
  <r>
    <x v="0"/>
    <n v="299.98"/>
  </r>
  <r>
    <x v="4"/>
    <n v="3499.95"/>
  </r>
  <r>
    <x v="3"/>
    <n v="299.95"/>
  </r>
  <r>
    <x v="3"/>
    <n v="179.98"/>
  </r>
  <r>
    <x v="4"/>
    <n v="1249.95"/>
  </r>
  <r>
    <x v="0"/>
    <n v="299.98"/>
  </r>
  <r>
    <x v="4"/>
    <n v="4499.95"/>
  </r>
  <r>
    <x v="0"/>
    <n v="599.96"/>
  </r>
  <r>
    <x v="2"/>
    <n v="249.99"/>
  </r>
  <r>
    <x v="3"/>
    <n v="119.98"/>
  </r>
  <r>
    <x v="3"/>
    <n v="299.98"/>
  </r>
  <r>
    <x v="2"/>
    <n v="2699.97"/>
  </r>
  <r>
    <x v="2"/>
    <n v="2699.97"/>
  </r>
  <r>
    <x v="3"/>
    <n v="899.97"/>
  </r>
  <r>
    <x v="3"/>
    <n v="599.96"/>
  </r>
  <r>
    <x v="0"/>
    <n v="319.95999999999998"/>
  </r>
  <r>
    <x v="1"/>
    <n v="449.95"/>
  </r>
  <r>
    <x v="0"/>
    <n v="449.97"/>
  </r>
  <r>
    <x v="3"/>
    <n v="179.98"/>
  </r>
  <r>
    <x v="2"/>
    <n v="1399.98"/>
  </r>
  <r>
    <x v="0"/>
    <n v="2699.97"/>
  </r>
  <r>
    <x v="2"/>
    <n v="239.97"/>
  </r>
  <r>
    <x v="4"/>
    <n v="89.99"/>
  </r>
  <r>
    <x v="2"/>
    <n v="2099.9699999999998"/>
  </r>
  <r>
    <x v="4"/>
    <n v="179.98"/>
  </r>
  <r>
    <x v="2"/>
    <n v="269.9700000000000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
  <r>
    <n v="749.97"/>
    <x v="0"/>
  </r>
  <r>
    <n v="749.97"/>
    <x v="0"/>
  </r>
  <r>
    <n v="179.97"/>
    <x v="1"/>
  </r>
  <r>
    <n v="179.97"/>
    <x v="1"/>
  </r>
  <r>
    <n v="749.95"/>
    <x v="2"/>
  </r>
  <r>
    <n v="119.98"/>
    <x v="1"/>
  </r>
  <r>
    <n v="749.95"/>
    <x v="0"/>
  </r>
  <r>
    <n v="179.97"/>
    <x v="1"/>
  </r>
  <r>
    <n v="2699.97"/>
    <x v="0"/>
  </r>
  <r>
    <n v="179.97"/>
    <x v="1"/>
  </r>
  <r>
    <n v="149.99"/>
    <x v="2"/>
  </r>
  <r>
    <n v="749.95"/>
    <x v="2"/>
  </r>
  <r>
    <n v="449.97"/>
    <x v="2"/>
  </r>
  <r>
    <n v="179.97"/>
    <x v="1"/>
  </r>
  <r>
    <n v="2099.9699999999998"/>
    <x v="0"/>
  </r>
  <r>
    <n v="899.99"/>
    <x v="0"/>
  </r>
  <r>
    <n v="599.96"/>
    <x v="2"/>
  </r>
  <r>
    <n v="1399.98"/>
    <x v="0"/>
  </r>
  <r>
    <n v="3599.96"/>
    <x v="0"/>
  </r>
  <r>
    <n v="749.97"/>
    <x v="0"/>
  </r>
  <r>
    <n v="3499.95"/>
    <x v="0"/>
  </r>
  <r>
    <n v="2799.96"/>
    <x v="0"/>
  </r>
  <r>
    <n v="999.96"/>
    <x v="0"/>
  </r>
  <r>
    <n v="1199.96"/>
    <x v="2"/>
  </r>
  <r>
    <n v="1249.95"/>
    <x v="0"/>
  </r>
  <r>
    <n v="1499.95"/>
    <x v="2"/>
  </r>
  <r>
    <n v="239.97"/>
    <x v="1"/>
  </r>
  <r>
    <n v="449.95"/>
    <x v="0"/>
  </r>
  <r>
    <n v="119.98"/>
    <x v="1"/>
  </r>
  <r>
    <n v="239.96"/>
    <x v="1"/>
  </r>
  <r>
    <n v="999.95"/>
    <x v="2"/>
  </r>
  <r>
    <n v="299.98"/>
    <x v="2"/>
  </r>
  <r>
    <n v="449.97"/>
    <x v="2"/>
  </r>
  <r>
    <n v="899.99"/>
    <x v="0"/>
  </r>
  <r>
    <n v="899.97"/>
    <x v="2"/>
  </r>
  <r>
    <n v="239.97"/>
    <x v="1"/>
  </r>
  <r>
    <n v="599.97"/>
    <x v="2"/>
  </r>
  <r>
    <n v="3499.95"/>
    <x v="0"/>
  </r>
  <r>
    <n v="269.97000000000003"/>
    <x v="0"/>
  </r>
  <r>
    <n v="79.989999999999995"/>
    <x v="1"/>
  </r>
  <r>
    <n v="119.98"/>
    <x v="1"/>
  </r>
  <r>
    <n v="89.99"/>
    <x v="0"/>
  </r>
  <r>
    <n v="449.95"/>
    <x v="0"/>
  </r>
  <r>
    <n v="1249.95"/>
    <x v="0"/>
  </r>
  <r>
    <n v="89.99"/>
    <x v="0"/>
  </r>
  <r>
    <n v="299.98"/>
    <x v="2"/>
  </r>
  <r>
    <n v="239.96"/>
    <x v="1"/>
  </r>
  <r>
    <n v="449.95"/>
    <x v="0"/>
  </r>
  <r>
    <n v="179.98"/>
    <x v="0"/>
  </r>
  <r>
    <n v="4499.95"/>
    <x v="0"/>
  </r>
  <r>
    <n v="4499.95"/>
    <x v="0"/>
  </r>
  <r>
    <n v="59.99"/>
    <x v="1"/>
  </r>
  <r>
    <n v="599.98"/>
    <x v="2"/>
  </r>
  <r>
    <n v="359.96"/>
    <x v="0"/>
  </r>
  <r>
    <n v="79.989999999999995"/>
    <x v="1"/>
  </r>
  <r>
    <n v="179.98"/>
    <x v="0"/>
  </r>
  <r>
    <n v="2099.9699999999998"/>
    <x v="0"/>
  </r>
  <r>
    <n v="3599.96"/>
    <x v="0"/>
  </r>
  <r>
    <n v="149.99"/>
    <x v="2"/>
  </r>
  <r>
    <n v="179.98"/>
    <x v="0"/>
  </r>
  <r>
    <n v="89.99"/>
    <x v="0"/>
  </r>
  <r>
    <n v="89.99"/>
    <x v="0"/>
  </r>
  <r>
    <n v="399.95"/>
    <x v="1"/>
  </r>
  <r>
    <n v="149.99"/>
    <x v="2"/>
  </r>
  <r>
    <n v="1399.98"/>
    <x v="0"/>
  </r>
  <r>
    <n v="449.95"/>
    <x v="0"/>
  </r>
  <r>
    <n v="239.96"/>
    <x v="1"/>
  </r>
  <r>
    <n v="149.99"/>
    <x v="0"/>
  </r>
  <r>
    <n v="299.99"/>
    <x v="2"/>
  </r>
  <r>
    <n v="399.98"/>
    <x v="2"/>
  </r>
  <r>
    <n v="179.97"/>
    <x v="1"/>
  </r>
  <r>
    <n v="449.97"/>
    <x v="2"/>
  </r>
  <r>
    <n v="599.97"/>
    <x v="2"/>
  </r>
  <r>
    <n v="899.99"/>
    <x v="0"/>
  </r>
  <r>
    <n v="4499.95"/>
    <x v="0"/>
  </r>
  <r>
    <n v="119.98"/>
    <x v="1"/>
  </r>
  <r>
    <n v="999.96"/>
    <x v="0"/>
  </r>
  <r>
    <n v="499.98"/>
    <x v="0"/>
  </r>
  <r>
    <n v="299.99"/>
    <x v="2"/>
  </r>
  <r>
    <n v="179.98"/>
    <x v="0"/>
  </r>
  <r>
    <n v="899.97"/>
    <x v="2"/>
  </r>
  <r>
    <n v="1399.98"/>
    <x v="0"/>
  </r>
  <r>
    <n v="3599.96"/>
    <x v="0"/>
  </r>
  <r>
    <n v="299.98"/>
    <x v="2"/>
  </r>
  <r>
    <n v="299.98"/>
    <x v="2"/>
  </r>
  <r>
    <n v="89.99"/>
    <x v="0"/>
  </r>
  <r>
    <n v="1499.95"/>
    <x v="2"/>
  </r>
  <r>
    <n v="599.96"/>
    <x v="0"/>
  </r>
  <r>
    <n v="1249.95"/>
    <x v="0"/>
  </r>
  <r>
    <n v="749.97"/>
    <x v="0"/>
  </r>
  <r>
    <n v="799.96"/>
    <x v="2"/>
  </r>
  <r>
    <n v="999.95"/>
    <x v="2"/>
  </r>
  <r>
    <n v="179.98"/>
    <x v="0"/>
  </r>
  <r>
    <n v="4499.95"/>
    <x v="0"/>
  </r>
  <r>
    <n v="449.97"/>
    <x v="0"/>
  </r>
  <r>
    <n v="749.95"/>
    <x v="2"/>
  </r>
  <r>
    <n v="239.97"/>
    <x v="1"/>
  </r>
  <r>
    <n v="499.98"/>
    <x v="0"/>
  </r>
  <r>
    <n v="699.99"/>
    <x v="0"/>
  </r>
  <r>
    <n v="449.97"/>
    <x v="0"/>
  </r>
  <r>
    <n v="1399.98"/>
    <x v="0"/>
  </r>
  <r>
    <n v="249.99"/>
    <x v="0"/>
  </r>
  <r>
    <n v="249.99"/>
    <x v="0"/>
  </r>
  <r>
    <n v="1399.98"/>
    <x v="0"/>
  </r>
  <r>
    <n v="179.97"/>
    <x v="1"/>
  </r>
  <r>
    <n v="179.97"/>
    <x v="1"/>
  </r>
  <r>
    <n v="319.95999999999998"/>
    <x v="1"/>
  </r>
  <r>
    <n v="79.989999999999995"/>
    <x v="1"/>
  </r>
  <r>
    <n v="899.97"/>
    <x v="2"/>
  </r>
  <r>
    <n v="179.98"/>
    <x v="0"/>
  </r>
  <r>
    <n v="599.96"/>
    <x v="0"/>
  </r>
  <r>
    <n v="499.98"/>
    <x v="0"/>
  </r>
  <r>
    <n v="799.96"/>
    <x v="2"/>
  </r>
  <r>
    <n v="449.95"/>
    <x v="0"/>
  </r>
  <r>
    <n v="149.99"/>
    <x v="0"/>
  </r>
  <r>
    <n v="2799.96"/>
    <x v="0"/>
  </r>
  <r>
    <n v="2699.97"/>
    <x v="0"/>
  </r>
  <r>
    <n v="449.97"/>
    <x v="2"/>
  </r>
  <r>
    <n v="599.98"/>
    <x v="2"/>
  </r>
  <r>
    <n v="199.99"/>
    <x v="2"/>
  </r>
  <r>
    <n v="1199.96"/>
    <x v="2"/>
  </r>
  <r>
    <n v="119.98"/>
    <x v="1"/>
  </r>
  <r>
    <n v="599.96"/>
    <x v="0"/>
  </r>
  <r>
    <n v="1399.98"/>
    <x v="0"/>
  </r>
  <r>
    <n v="449.97"/>
    <x v="2"/>
  </r>
  <r>
    <n v="899.97"/>
    <x v="2"/>
  </r>
  <r>
    <n v="2699.97"/>
    <x v="0"/>
  </r>
  <r>
    <n v="3499.95"/>
    <x v="0"/>
  </r>
  <r>
    <n v="2799.96"/>
    <x v="0"/>
  </r>
  <r>
    <n v="899.99"/>
    <x v="0"/>
  </r>
  <r>
    <n v="299.98"/>
    <x v="0"/>
  </r>
  <r>
    <n v="269.97000000000003"/>
    <x v="0"/>
  </r>
  <r>
    <n v="299.98"/>
    <x v="0"/>
  </r>
  <r>
    <n v="1399.98"/>
    <x v="0"/>
  </r>
  <r>
    <n v="3499.95"/>
    <x v="0"/>
  </r>
  <r>
    <n v="269.97000000000003"/>
    <x v="0"/>
  </r>
  <r>
    <n v="1249.95"/>
    <x v="0"/>
  </r>
  <r>
    <n v="899.97"/>
    <x v="2"/>
  </r>
  <r>
    <n v="269.97000000000003"/>
    <x v="0"/>
  </r>
  <r>
    <n v="299.98"/>
    <x v="2"/>
  </r>
  <r>
    <n v="249.99"/>
    <x v="0"/>
  </r>
  <r>
    <n v="449.97"/>
    <x v="0"/>
  </r>
  <r>
    <n v="299.95"/>
    <x v="1"/>
  </r>
  <r>
    <n v="999.96"/>
    <x v="0"/>
  </r>
  <r>
    <n v="749.95"/>
    <x v="2"/>
  </r>
  <r>
    <n v="179.97"/>
    <x v="1"/>
  </r>
  <r>
    <n v="749.95"/>
    <x v="2"/>
  </r>
  <r>
    <n v="1399.98"/>
    <x v="0"/>
  </r>
  <r>
    <n v="799.96"/>
    <x v="2"/>
  </r>
  <r>
    <n v="59.99"/>
    <x v="1"/>
  </r>
  <r>
    <n v="2099.9699999999998"/>
    <x v="0"/>
  </r>
  <r>
    <n v="1249.95"/>
    <x v="0"/>
  </r>
  <r>
    <n v="299.98"/>
    <x v="2"/>
  </r>
  <r>
    <n v="899.97"/>
    <x v="2"/>
  </r>
  <r>
    <n v="1249.95"/>
    <x v="0"/>
  </r>
  <r>
    <n v="299.98"/>
    <x v="0"/>
  </r>
  <r>
    <n v="3499.95"/>
    <x v="0"/>
  </r>
  <r>
    <n v="999.96"/>
    <x v="0"/>
  </r>
  <r>
    <n v="2799.96"/>
    <x v="0"/>
  </r>
  <r>
    <n v="499.98"/>
    <x v="0"/>
  </r>
  <r>
    <n v="179.97"/>
    <x v="1"/>
  </r>
  <r>
    <n v="319.95999999999998"/>
    <x v="1"/>
  </r>
  <r>
    <n v="239.97"/>
    <x v="1"/>
  </r>
  <r>
    <n v="1799.98"/>
    <x v="0"/>
  </r>
  <r>
    <n v="149.99"/>
    <x v="2"/>
  </r>
  <r>
    <n v="599.98"/>
    <x v="2"/>
  </r>
  <r>
    <n v="119.98"/>
    <x v="1"/>
  </r>
  <r>
    <n v="89.99"/>
    <x v="0"/>
  </r>
  <r>
    <n v="4499.95"/>
    <x v="0"/>
  </r>
  <r>
    <n v="299.98"/>
    <x v="2"/>
  </r>
  <r>
    <n v="299.98"/>
    <x v="0"/>
  </r>
  <r>
    <n v="449.97"/>
    <x v="2"/>
  </r>
  <r>
    <n v="599.98"/>
    <x v="2"/>
  </r>
  <r>
    <n v="599.98"/>
    <x v="2"/>
  </r>
  <r>
    <n v="799.96"/>
    <x v="2"/>
  </r>
  <r>
    <n v="89.99"/>
    <x v="0"/>
  </r>
  <r>
    <n v="749.95"/>
    <x v="2"/>
  </r>
  <r>
    <n v="899.99"/>
    <x v="0"/>
  </r>
  <r>
    <n v="179.98"/>
    <x v="0"/>
  </r>
  <r>
    <n v="899.99"/>
    <x v="0"/>
  </r>
  <r>
    <n v="749.95"/>
    <x v="0"/>
  </r>
  <r>
    <n v="899.97"/>
    <x v="2"/>
  </r>
  <r>
    <n v="2099.9699999999998"/>
    <x v="0"/>
  </r>
  <r>
    <n v="999.95"/>
    <x v="2"/>
  </r>
  <r>
    <n v="1249.95"/>
    <x v="0"/>
  </r>
  <r>
    <n v="599.96"/>
    <x v="0"/>
  </r>
  <r>
    <n v="2099.9699999999998"/>
    <x v="0"/>
  </r>
  <r>
    <n v="79.989999999999995"/>
    <x v="1"/>
  </r>
  <r>
    <n v="299.99"/>
    <x v="2"/>
  </r>
  <r>
    <n v="999.96"/>
    <x v="0"/>
  </r>
  <r>
    <n v="299.98"/>
    <x v="0"/>
  </r>
  <r>
    <n v="899.97"/>
    <x v="2"/>
  </r>
  <r>
    <n v="799.96"/>
    <x v="2"/>
  </r>
  <r>
    <n v="1499.95"/>
    <x v="2"/>
  </r>
  <r>
    <n v="449.97"/>
    <x v="2"/>
  </r>
  <r>
    <n v="299.95"/>
    <x v="1"/>
  </r>
  <r>
    <n v="239.96"/>
    <x v="1"/>
  </r>
  <r>
    <n v="999.96"/>
    <x v="0"/>
  </r>
  <r>
    <n v="3599.96"/>
    <x v="0"/>
  </r>
  <r>
    <n v="899.97"/>
    <x v="2"/>
  </r>
  <r>
    <n v="1399.98"/>
    <x v="0"/>
  </r>
  <r>
    <n v="2799.96"/>
    <x v="0"/>
  </r>
  <r>
    <n v="179.98"/>
    <x v="0"/>
  </r>
  <r>
    <n v="269.97000000000003"/>
    <x v="0"/>
  </r>
  <r>
    <n v="59.99"/>
    <x v="1"/>
  </r>
  <r>
    <n v="449.97"/>
    <x v="2"/>
  </r>
  <r>
    <n v="1499.95"/>
    <x v="2"/>
  </r>
  <r>
    <n v="299.95"/>
    <x v="1"/>
  </r>
  <r>
    <n v="239.97"/>
    <x v="1"/>
  </r>
  <r>
    <n v="599.97"/>
    <x v="2"/>
  </r>
  <r>
    <n v="179.98"/>
    <x v="0"/>
  </r>
  <r>
    <n v="299.98"/>
    <x v="2"/>
  </r>
  <r>
    <n v="3499.95"/>
    <x v="0"/>
  </r>
  <r>
    <n v="449.97"/>
    <x v="2"/>
  </r>
  <r>
    <n v="2699.97"/>
    <x v="0"/>
  </r>
  <r>
    <n v="599.97"/>
    <x v="2"/>
  </r>
  <r>
    <n v="1499.95"/>
    <x v="2"/>
  </r>
  <r>
    <n v="699.99"/>
    <x v="0"/>
  </r>
  <r>
    <n v="699.99"/>
    <x v="0"/>
  </r>
  <r>
    <n v="599.96"/>
    <x v="2"/>
  </r>
  <r>
    <n v="449.95"/>
    <x v="0"/>
  </r>
  <r>
    <n v="399.98"/>
    <x v="2"/>
  </r>
  <r>
    <n v="239.96"/>
    <x v="1"/>
  </r>
  <r>
    <n v="599.98"/>
    <x v="2"/>
  </r>
  <r>
    <n v="299.98"/>
    <x v="2"/>
  </r>
  <r>
    <n v="3499.95"/>
    <x v="0"/>
  </r>
  <r>
    <n v="299.95"/>
    <x v="1"/>
  </r>
  <r>
    <n v="179.98"/>
    <x v="0"/>
  </r>
  <r>
    <n v="1249.95"/>
    <x v="0"/>
  </r>
  <r>
    <n v="299.98"/>
    <x v="2"/>
  </r>
  <r>
    <n v="4499.95"/>
    <x v="0"/>
  </r>
  <r>
    <n v="599.96"/>
    <x v="2"/>
  </r>
  <r>
    <n v="249.99"/>
    <x v="0"/>
  </r>
  <r>
    <n v="119.98"/>
    <x v="1"/>
  </r>
  <r>
    <n v="299.98"/>
    <x v="2"/>
  </r>
  <r>
    <n v="2699.97"/>
    <x v="0"/>
  </r>
  <r>
    <n v="2699.97"/>
    <x v="0"/>
  </r>
  <r>
    <n v="899.97"/>
    <x v="2"/>
  </r>
  <r>
    <n v="599.96"/>
    <x v="2"/>
  </r>
  <r>
    <n v="319.95999999999998"/>
    <x v="1"/>
  </r>
  <r>
    <n v="449.95"/>
    <x v="0"/>
  </r>
  <r>
    <n v="449.97"/>
    <x v="2"/>
  </r>
  <r>
    <n v="179.98"/>
    <x v="0"/>
  </r>
  <r>
    <n v="1399.98"/>
    <x v="0"/>
  </r>
  <r>
    <n v="2699.97"/>
    <x v="0"/>
  </r>
  <r>
    <n v="239.97"/>
    <x v="1"/>
  </r>
  <r>
    <n v="89.99"/>
    <x v="0"/>
  </r>
  <r>
    <n v="2099.9699999999998"/>
    <x v="0"/>
  </r>
  <r>
    <n v="179.98"/>
    <x v="0"/>
  </r>
  <r>
    <n v="269.97000000000003"/>
    <x v="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
  <r>
    <x v="0"/>
    <x v="0"/>
  </r>
  <r>
    <x v="1"/>
    <x v="0"/>
  </r>
  <r>
    <x v="2"/>
    <x v="1"/>
  </r>
  <r>
    <x v="0"/>
    <x v="1"/>
  </r>
  <r>
    <x v="1"/>
    <x v="2"/>
  </r>
  <r>
    <x v="0"/>
    <x v="3"/>
  </r>
  <r>
    <x v="1"/>
    <x v="2"/>
  </r>
  <r>
    <x v="3"/>
    <x v="1"/>
  </r>
  <r>
    <x v="2"/>
    <x v="4"/>
  </r>
  <r>
    <x v="0"/>
    <x v="1"/>
  </r>
  <r>
    <x v="1"/>
    <x v="5"/>
  </r>
  <r>
    <x v="3"/>
    <x v="2"/>
  </r>
  <r>
    <x v="0"/>
    <x v="6"/>
  </r>
  <r>
    <x v="1"/>
    <x v="1"/>
  </r>
  <r>
    <x v="1"/>
    <x v="7"/>
  </r>
  <r>
    <x v="3"/>
    <x v="8"/>
  </r>
  <r>
    <x v="3"/>
    <x v="9"/>
  </r>
  <r>
    <x v="0"/>
    <x v="10"/>
  </r>
  <r>
    <x v="1"/>
    <x v="11"/>
  </r>
  <r>
    <x v="1"/>
    <x v="0"/>
  </r>
  <r>
    <x v="0"/>
    <x v="12"/>
  </r>
  <r>
    <x v="0"/>
    <x v="13"/>
  </r>
  <r>
    <x v="2"/>
    <x v="14"/>
  </r>
  <r>
    <x v="0"/>
    <x v="15"/>
  </r>
  <r>
    <x v="1"/>
    <x v="16"/>
  </r>
  <r>
    <x v="2"/>
    <x v="17"/>
  </r>
  <r>
    <x v="2"/>
    <x v="18"/>
  </r>
  <r>
    <x v="0"/>
    <x v="19"/>
  </r>
  <r>
    <x v="3"/>
    <x v="3"/>
  </r>
  <r>
    <x v="3"/>
    <x v="20"/>
  </r>
  <r>
    <x v="0"/>
    <x v="21"/>
  </r>
  <r>
    <x v="1"/>
    <x v="22"/>
  </r>
  <r>
    <x v="1"/>
    <x v="6"/>
  </r>
  <r>
    <x v="1"/>
    <x v="8"/>
  </r>
  <r>
    <x v="1"/>
    <x v="23"/>
  </r>
  <r>
    <x v="0"/>
    <x v="18"/>
  </r>
  <r>
    <x v="1"/>
    <x v="24"/>
  </r>
  <r>
    <x v="2"/>
    <x v="12"/>
  </r>
  <r>
    <x v="2"/>
    <x v="25"/>
  </r>
  <r>
    <x v="0"/>
    <x v="26"/>
  </r>
  <r>
    <x v="0"/>
    <x v="3"/>
  </r>
  <r>
    <x v="0"/>
    <x v="27"/>
  </r>
  <r>
    <x v="1"/>
    <x v="19"/>
  </r>
  <r>
    <x v="1"/>
    <x v="16"/>
  </r>
  <r>
    <x v="1"/>
    <x v="27"/>
  </r>
  <r>
    <x v="0"/>
    <x v="22"/>
  </r>
  <r>
    <x v="0"/>
    <x v="20"/>
  </r>
  <r>
    <x v="0"/>
    <x v="19"/>
  </r>
  <r>
    <x v="1"/>
    <x v="28"/>
  </r>
  <r>
    <x v="1"/>
    <x v="29"/>
  </r>
  <r>
    <x v="2"/>
    <x v="29"/>
  </r>
  <r>
    <x v="3"/>
    <x v="30"/>
  </r>
  <r>
    <x v="3"/>
    <x v="31"/>
  </r>
  <r>
    <x v="3"/>
    <x v="32"/>
  </r>
  <r>
    <x v="2"/>
    <x v="26"/>
  </r>
  <r>
    <x v="0"/>
    <x v="28"/>
  </r>
  <r>
    <x v="1"/>
    <x v="7"/>
  </r>
  <r>
    <x v="1"/>
    <x v="11"/>
  </r>
  <r>
    <x v="2"/>
    <x v="5"/>
  </r>
  <r>
    <x v="2"/>
    <x v="28"/>
  </r>
  <r>
    <x v="2"/>
    <x v="27"/>
  </r>
  <r>
    <x v="0"/>
    <x v="27"/>
  </r>
  <r>
    <x v="3"/>
    <x v="33"/>
  </r>
  <r>
    <x v="2"/>
    <x v="5"/>
  </r>
  <r>
    <x v="2"/>
    <x v="10"/>
  </r>
  <r>
    <x v="3"/>
    <x v="19"/>
  </r>
  <r>
    <x v="0"/>
    <x v="20"/>
  </r>
  <r>
    <x v="0"/>
    <x v="5"/>
  </r>
  <r>
    <x v="1"/>
    <x v="34"/>
  </r>
  <r>
    <x v="0"/>
    <x v="35"/>
  </r>
  <r>
    <x v="1"/>
    <x v="1"/>
  </r>
  <r>
    <x v="0"/>
    <x v="6"/>
  </r>
  <r>
    <x v="0"/>
    <x v="24"/>
  </r>
  <r>
    <x v="0"/>
    <x v="8"/>
  </r>
  <r>
    <x v="3"/>
    <x v="29"/>
  </r>
  <r>
    <x v="0"/>
    <x v="3"/>
  </r>
  <r>
    <x v="3"/>
    <x v="14"/>
  </r>
  <r>
    <x v="0"/>
    <x v="36"/>
  </r>
  <r>
    <x v="0"/>
    <x v="34"/>
  </r>
  <r>
    <x v="2"/>
    <x v="28"/>
  </r>
  <r>
    <x v="0"/>
    <x v="23"/>
  </r>
  <r>
    <x v="1"/>
    <x v="10"/>
  </r>
  <r>
    <x v="3"/>
    <x v="11"/>
  </r>
  <r>
    <x v="1"/>
    <x v="22"/>
  </r>
  <r>
    <x v="3"/>
    <x v="22"/>
  </r>
  <r>
    <x v="1"/>
    <x v="27"/>
  </r>
  <r>
    <x v="1"/>
    <x v="17"/>
  </r>
  <r>
    <x v="3"/>
    <x v="9"/>
  </r>
  <r>
    <x v="2"/>
    <x v="16"/>
  </r>
  <r>
    <x v="2"/>
    <x v="0"/>
  </r>
  <r>
    <x v="0"/>
    <x v="37"/>
  </r>
  <r>
    <x v="0"/>
    <x v="21"/>
  </r>
  <r>
    <x v="0"/>
    <x v="28"/>
  </r>
  <r>
    <x v="3"/>
    <x v="29"/>
  </r>
  <r>
    <x v="2"/>
    <x v="6"/>
  </r>
  <r>
    <x v="1"/>
    <x v="2"/>
  </r>
  <r>
    <x v="0"/>
    <x v="18"/>
  </r>
  <r>
    <x v="0"/>
    <x v="36"/>
  </r>
  <r>
    <x v="0"/>
    <x v="38"/>
  </r>
  <r>
    <x v="0"/>
    <x v="6"/>
  </r>
  <r>
    <x v="1"/>
    <x v="10"/>
  </r>
  <r>
    <x v="1"/>
    <x v="39"/>
  </r>
  <r>
    <x v="3"/>
    <x v="39"/>
  </r>
  <r>
    <x v="3"/>
    <x v="10"/>
  </r>
  <r>
    <x v="1"/>
    <x v="1"/>
  </r>
  <r>
    <x v="2"/>
    <x v="1"/>
  </r>
  <r>
    <x v="0"/>
    <x v="40"/>
  </r>
  <r>
    <x v="0"/>
    <x v="26"/>
  </r>
  <r>
    <x v="1"/>
    <x v="23"/>
  </r>
  <r>
    <x v="1"/>
    <x v="28"/>
  </r>
  <r>
    <x v="0"/>
    <x v="9"/>
  </r>
  <r>
    <x v="2"/>
    <x v="36"/>
  </r>
  <r>
    <x v="3"/>
    <x v="37"/>
  </r>
  <r>
    <x v="1"/>
    <x v="19"/>
  </r>
  <r>
    <x v="2"/>
    <x v="5"/>
  </r>
  <r>
    <x v="2"/>
    <x v="13"/>
  </r>
  <r>
    <x v="1"/>
    <x v="4"/>
  </r>
  <r>
    <x v="2"/>
    <x v="6"/>
  </r>
  <r>
    <x v="3"/>
    <x v="31"/>
  </r>
  <r>
    <x v="3"/>
    <x v="41"/>
  </r>
  <r>
    <x v="0"/>
    <x v="15"/>
  </r>
  <r>
    <x v="1"/>
    <x v="3"/>
  </r>
  <r>
    <x v="1"/>
    <x v="9"/>
  </r>
  <r>
    <x v="3"/>
    <x v="10"/>
  </r>
  <r>
    <x v="1"/>
    <x v="6"/>
  </r>
  <r>
    <x v="1"/>
    <x v="23"/>
  </r>
  <r>
    <x v="2"/>
    <x v="4"/>
  </r>
  <r>
    <x v="0"/>
    <x v="12"/>
  </r>
  <r>
    <x v="1"/>
    <x v="13"/>
  </r>
  <r>
    <x v="1"/>
    <x v="8"/>
  </r>
  <r>
    <x v="1"/>
    <x v="22"/>
  </r>
  <r>
    <x v="2"/>
    <x v="25"/>
  </r>
  <r>
    <x v="2"/>
    <x v="22"/>
  </r>
  <r>
    <x v="0"/>
    <x v="10"/>
  </r>
  <r>
    <x v="0"/>
    <x v="12"/>
  </r>
  <r>
    <x v="1"/>
    <x v="25"/>
  </r>
  <r>
    <x v="1"/>
    <x v="16"/>
  </r>
  <r>
    <x v="1"/>
    <x v="23"/>
  </r>
  <r>
    <x v="1"/>
    <x v="25"/>
  </r>
  <r>
    <x v="1"/>
    <x v="22"/>
  </r>
  <r>
    <x v="1"/>
    <x v="39"/>
  </r>
  <r>
    <x v="0"/>
    <x v="6"/>
  </r>
  <r>
    <x v="2"/>
    <x v="42"/>
  </r>
  <r>
    <x v="1"/>
    <x v="14"/>
  </r>
  <r>
    <x v="2"/>
    <x v="2"/>
  </r>
  <r>
    <x v="3"/>
    <x v="1"/>
  </r>
  <r>
    <x v="0"/>
    <x v="2"/>
  </r>
  <r>
    <x v="2"/>
    <x v="10"/>
  </r>
  <r>
    <x v="3"/>
    <x v="37"/>
  </r>
  <r>
    <x v="3"/>
    <x v="30"/>
  </r>
  <r>
    <x v="2"/>
    <x v="7"/>
  </r>
  <r>
    <x v="1"/>
    <x v="16"/>
  </r>
  <r>
    <x v="0"/>
    <x v="22"/>
  </r>
  <r>
    <x v="0"/>
    <x v="23"/>
  </r>
  <r>
    <x v="0"/>
    <x v="16"/>
  </r>
  <r>
    <x v="0"/>
    <x v="22"/>
  </r>
  <r>
    <x v="3"/>
    <x v="12"/>
  </r>
  <r>
    <x v="2"/>
    <x v="14"/>
  </r>
  <r>
    <x v="1"/>
    <x v="13"/>
  </r>
  <r>
    <x v="1"/>
    <x v="36"/>
  </r>
  <r>
    <x v="0"/>
    <x v="1"/>
  </r>
  <r>
    <x v="3"/>
    <x v="40"/>
  </r>
  <r>
    <x v="3"/>
    <x v="18"/>
  </r>
  <r>
    <x v="0"/>
    <x v="43"/>
  </r>
  <r>
    <x v="3"/>
    <x v="5"/>
  </r>
  <r>
    <x v="0"/>
    <x v="31"/>
  </r>
  <r>
    <x v="0"/>
    <x v="3"/>
  </r>
  <r>
    <x v="3"/>
    <x v="27"/>
  </r>
  <r>
    <x v="3"/>
    <x v="29"/>
  </r>
  <r>
    <x v="0"/>
    <x v="22"/>
  </r>
  <r>
    <x v="3"/>
    <x v="22"/>
  </r>
  <r>
    <x v="3"/>
    <x v="6"/>
  </r>
  <r>
    <x v="2"/>
    <x v="31"/>
  </r>
  <r>
    <x v="0"/>
    <x v="31"/>
  </r>
  <r>
    <x v="1"/>
    <x v="37"/>
  </r>
  <r>
    <x v="1"/>
    <x v="27"/>
  </r>
  <r>
    <x v="0"/>
    <x v="2"/>
  </r>
  <r>
    <x v="2"/>
    <x v="8"/>
  </r>
  <r>
    <x v="1"/>
    <x v="28"/>
  </r>
  <r>
    <x v="2"/>
    <x v="8"/>
  </r>
  <r>
    <x v="2"/>
    <x v="2"/>
  </r>
  <r>
    <x v="0"/>
    <x v="23"/>
  </r>
  <r>
    <x v="1"/>
    <x v="7"/>
  </r>
  <r>
    <x v="2"/>
    <x v="21"/>
  </r>
  <r>
    <x v="1"/>
    <x v="16"/>
  </r>
  <r>
    <x v="3"/>
    <x v="9"/>
  </r>
  <r>
    <x v="0"/>
    <x v="7"/>
  </r>
  <r>
    <x v="1"/>
    <x v="26"/>
  </r>
  <r>
    <x v="1"/>
    <x v="34"/>
  </r>
  <r>
    <x v="1"/>
    <x v="14"/>
  </r>
  <r>
    <x v="0"/>
    <x v="22"/>
  </r>
  <r>
    <x v="1"/>
    <x v="23"/>
  </r>
  <r>
    <x v="3"/>
    <x v="37"/>
  </r>
  <r>
    <x v="3"/>
    <x v="17"/>
  </r>
  <r>
    <x v="1"/>
    <x v="6"/>
  </r>
  <r>
    <x v="3"/>
    <x v="42"/>
  </r>
  <r>
    <x v="3"/>
    <x v="20"/>
  </r>
  <r>
    <x v="3"/>
    <x v="14"/>
  </r>
  <r>
    <x v="2"/>
    <x v="11"/>
  </r>
  <r>
    <x v="3"/>
    <x v="23"/>
  </r>
  <r>
    <x v="3"/>
    <x v="10"/>
  </r>
  <r>
    <x v="3"/>
    <x v="13"/>
  </r>
  <r>
    <x v="3"/>
    <x v="28"/>
  </r>
  <r>
    <x v="3"/>
    <x v="25"/>
  </r>
  <r>
    <x v="3"/>
    <x v="30"/>
  </r>
  <r>
    <x v="3"/>
    <x v="6"/>
  </r>
  <r>
    <x v="1"/>
    <x v="17"/>
  </r>
  <r>
    <x v="3"/>
    <x v="42"/>
  </r>
  <r>
    <x v="0"/>
    <x v="18"/>
  </r>
  <r>
    <x v="0"/>
    <x v="24"/>
  </r>
  <r>
    <x v="2"/>
    <x v="28"/>
  </r>
  <r>
    <x v="0"/>
    <x v="22"/>
  </r>
  <r>
    <x v="2"/>
    <x v="12"/>
  </r>
  <r>
    <x v="2"/>
    <x v="6"/>
  </r>
  <r>
    <x v="0"/>
    <x v="4"/>
  </r>
  <r>
    <x v="0"/>
    <x v="24"/>
  </r>
  <r>
    <x v="0"/>
    <x v="17"/>
  </r>
  <r>
    <x v="2"/>
    <x v="38"/>
  </r>
  <r>
    <x v="0"/>
    <x v="38"/>
  </r>
  <r>
    <x v="2"/>
    <x v="9"/>
  </r>
  <r>
    <x v="2"/>
    <x v="19"/>
  </r>
  <r>
    <x v="0"/>
    <x v="35"/>
  </r>
  <r>
    <x v="0"/>
    <x v="20"/>
  </r>
  <r>
    <x v="2"/>
    <x v="31"/>
  </r>
  <r>
    <x v="0"/>
    <x v="22"/>
  </r>
  <r>
    <x v="3"/>
    <x v="12"/>
  </r>
  <r>
    <x v="0"/>
    <x v="42"/>
  </r>
  <r>
    <x v="1"/>
    <x v="28"/>
  </r>
  <r>
    <x v="0"/>
    <x v="16"/>
  </r>
  <r>
    <x v="2"/>
    <x v="22"/>
  </r>
  <r>
    <x v="2"/>
    <x v="29"/>
  </r>
  <r>
    <x v="0"/>
    <x v="9"/>
  </r>
  <r>
    <x v="0"/>
    <x v="39"/>
  </r>
  <r>
    <x v="1"/>
    <x v="3"/>
  </r>
  <r>
    <x v="0"/>
    <x v="22"/>
  </r>
  <r>
    <x v="3"/>
    <x v="4"/>
  </r>
  <r>
    <x v="2"/>
    <x v="4"/>
  </r>
  <r>
    <x v="1"/>
    <x v="23"/>
  </r>
  <r>
    <x v="2"/>
    <x v="9"/>
  </r>
  <r>
    <x v="1"/>
    <x v="40"/>
  </r>
  <r>
    <x v="2"/>
    <x v="19"/>
  </r>
  <r>
    <x v="2"/>
    <x v="6"/>
  </r>
  <r>
    <x v="3"/>
    <x v="28"/>
  </r>
  <r>
    <x v="2"/>
    <x v="10"/>
  </r>
  <r>
    <x v="0"/>
    <x v="4"/>
  </r>
  <r>
    <x v="1"/>
    <x v="18"/>
  </r>
  <r>
    <x v="3"/>
    <x v="27"/>
  </r>
  <r>
    <x v="2"/>
    <x v="7"/>
  </r>
  <r>
    <x v="3"/>
    <x v="28"/>
  </r>
  <r>
    <x v="3"/>
    <x v="25"/>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
  <r>
    <x v="0"/>
    <n v="749.97"/>
  </r>
  <r>
    <x v="0"/>
    <n v="749.97"/>
  </r>
  <r>
    <x v="0"/>
    <n v="179.97"/>
  </r>
  <r>
    <x v="0"/>
    <n v="179.97"/>
  </r>
  <r>
    <x v="0"/>
    <n v="749.95"/>
  </r>
  <r>
    <x v="0"/>
    <n v="119.98"/>
  </r>
  <r>
    <x v="0"/>
    <n v="749.95"/>
  </r>
  <r>
    <x v="0"/>
    <n v="179.97"/>
  </r>
  <r>
    <x v="0"/>
    <n v="2699.97"/>
  </r>
  <r>
    <x v="0"/>
    <n v="179.97"/>
  </r>
  <r>
    <x v="0"/>
    <n v="149.99"/>
  </r>
  <r>
    <x v="0"/>
    <n v="749.95"/>
  </r>
  <r>
    <x v="0"/>
    <n v="449.97"/>
  </r>
  <r>
    <x v="0"/>
    <n v="179.97"/>
  </r>
  <r>
    <x v="0"/>
    <n v="2099.9699999999998"/>
  </r>
  <r>
    <x v="0"/>
    <n v="899.99"/>
  </r>
  <r>
    <x v="0"/>
    <n v="599.96"/>
  </r>
  <r>
    <x v="0"/>
    <n v="1399.98"/>
  </r>
  <r>
    <x v="0"/>
    <n v="3599.96"/>
  </r>
  <r>
    <x v="0"/>
    <n v="749.97"/>
  </r>
  <r>
    <x v="0"/>
    <n v="3499.95"/>
  </r>
  <r>
    <x v="1"/>
    <n v="2799.96"/>
  </r>
  <r>
    <x v="1"/>
    <n v="999.96"/>
  </r>
  <r>
    <x v="1"/>
    <n v="1199.96"/>
  </r>
  <r>
    <x v="1"/>
    <n v="1249.95"/>
  </r>
  <r>
    <x v="1"/>
    <n v="1499.95"/>
  </r>
  <r>
    <x v="1"/>
    <n v="239.97"/>
  </r>
  <r>
    <x v="1"/>
    <n v="449.95"/>
  </r>
  <r>
    <x v="1"/>
    <n v="119.98"/>
  </r>
  <r>
    <x v="1"/>
    <n v="239.96"/>
  </r>
  <r>
    <x v="1"/>
    <n v="999.95"/>
  </r>
  <r>
    <x v="1"/>
    <n v="299.98"/>
  </r>
  <r>
    <x v="1"/>
    <n v="449.97"/>
  </r>
  <r>
    <x v="1"/>
    <n v="899.99"/>
  </r>
  <r>
    <x v="1"/>
    <n v="899.97"/>
  </r>
  <r>
    <x v="1"/>
    <n v="239.97"/>
  </r>
  <r>
    <x v="1"/>
    <n v="599.97"/>
  </r>
  <r>
    <x v="1"/>
    <n v="3499.95"/>
  </r>
  <r>
    <x v="1"/>
    <n v="269.97000000000003"/>
  </r>
  <r>
    <x v="1"/>
    <n v="79.989999999999995"/>
  </r>
  <r>
    <x v="2"/>
    <n v="119.98"/>
  </r>
  <r>
    <x v="2"/>
    <n v="89.99"/>
  </r>
  <r>
    <x v="2"/>
    <n v="449.95"/>
  </r>
  <r>
    <x v="2"/>
    <n v="1249.95"/>
  </r>
  <r>
    <x v="2"/>
    <n v="89.99"/>
  </r>
  <r>
    <x v="2"/>
    <n v="299.98"/>
  </r>
  <r>
    <x v="2"/>
    <n v="239.96"/>
  </r>
  <r>
    <x v="2"/>
    <n v="449.95"/>
  </r>
  <r>
    <x v="2"/>
    <n v="179.98"/>
  </r>
  <r>
    <x v="2"/>
    <n v="4499.95"/>
  </r>
  <r>
    <x v="2"/>
    <n v="4499.95"/>
  </r>
  <r>
    <x v="2"/>
    <n v="59.99"/>
  </r>
  <r>
    <x v="2"/>
    <n v="599.98"/>
  </r>
  <r>
    <x v="2"/>
    <n v="359.96"/>
  </r>
  <r>
    <x v="2"/>
    <n v="79.989999999999995"/>
  </r>
  <r>
    <x v="2"/>
    <n v="179.98"/>
  </r>
  <r>
    <x v="2"/>
    <n v="2099.9699999999998"/>
  </r>
  <r>
    <x v="2"/>
    <n v="3599.96"/>
  </r>
  <r>
    <x v="2"/>
    <n v="149.99"/>
  </r>
  <r>
    <x v="3"/>
    <n v="179.98"/>
  </r>
  <r>
    <x v="3"/>
    <n v="89.99"/>
  </r>
  <r>
    <x v="3"/>
    <n v="89.99"/>
  </r>
  <r>
    <x v="3"/>
    <n v="399.95"/>
  </r>
  <r>
    <x v="3"/>
    <n v="149.99"/>
  </r>
  <r>
    <x v="3"/>
    <n v="1399.98"/>
  </r>
  <r>
    <x v="3"/>
    <n v="449.95"/>
  </r>
  <r>
    <x v="3"/>
    <n v="239.96"/>
  </r>
  <r>
    <x v="3"/>
    <n v="149.99"/>
  </r>
  <r>
    <x v="3"/>
    <n v="299.99"/>
  </r>
  <r>
    <x v="3"/>
    <n v="399.98"/>
  </r>
  <r>
    <x v="3"/>
    <n v="179.97"/>
  </r>
  <r>
    <x v="3"/>
    <n v="449.97"/>
  </r>
  <r>
    <x v="3"/>
    <n v="599.97"/>
  </r>
  <r>
    <x v="3"/>
    <n v="899.99"/>
  </r>
  <r>
    <x v="3"/>
    <n v="4499.95"/>
  </r>
  <r>
    <x v="3"/>
    <n v="119.98"/>
  </r>
  <r>
    <x v="3"/>
    <n v="999.96"/>
  </r>
  <r>
    <x v="3"/>
    <n v="499.98"/>
  </r>
  <r>
    <x v="3"/>
    <n v="299.99"/>
  </r>
  <r>
    <x v="3"/>
    <n v="179.98"/>
  </r>
  <r>
    <x v="3"/>
    <n v="899.97"/>
  </r>
  <r>
    <x v="3"/>
    <n v="1399.98"/>
  </r>
  <r>
    <x v="3"/>
    <n v="3599.96"/>
  </r>
  <r>
    <x v="4"/>
    <n v="299.98"/>
  </r>
  <r>
    <x v="4"/>
    <n v="299.98"/>
  </r>
  <r>
    <x v="4"/>
    <n v="89.99"/>
  </r>
  <r>
    <x v="4"/>
    <n v="1499.95"/>
  </r>
  <r>
    <x v="4"/>
    <n v="599.96"/>
  </r>
  <r>
    <x v="4"/>
    <n v="1249.95"/>
  </r>
  <r>
    <x v="4"/>
    <n v="749.97"/>
  </r>
  <r>
    <x v="4"/>
    <n v="799.96"/>
  </r>
  <r>
    <x v="4"/>
    <n v="999.95"/>
  </r>
  <r>
    <x v="4"/>
    <n v="179.98"/>
  </r>
  <r>
    <x v="4"/>
    <n v="4499.95"/>
  </r>
  <r>
    <x v="4"/>
    <n v="449.97"/>
  </r>
  <r>
    <x v="4"/>
    <n v="749.95"/>
  </r>
  <r>
    <x v="4"/>
    <n v="239.97"/>
  </r>
  <r>
    <x v="4"/>
    <n v="499.98"/>
  </r>
  <r>
    <x v="4"/>
    <n v="699.99"/>
  </r>
  <r>
    <x v="4"/>
    <n v="449.97"/>
  </r>
  <r>
    <x v="4"/>
    <n v="1399.98"/>
  </r>
  <r>
    <x v="5"/>
    <n v="249.99"/>
  </r>
  <r>
    <x v="5"/>
    <n v="249.99"/>
  </r>
  <r>
    <x v="5"/>
    <n v="1399.98"/>
  </r>
  <r>
    <x v="5"/>
    <n v="179.97"/>
  </r>
  <r>
    <x v="5"/>
    <n v="179.97"/>
  </r>
  <r>
    <x v="5"/>
    <n v="319.95999999999998"/>
  </r>
  <r>
    <x v="5"/>
    <n v="79.989999999999995"/>
  </r>
  <r>
    <x v="5"/>
    <n v="899.97"/>
  </r>
  <r>
    <x v="5"/>
    <n v="179.98"/>
  </r>
  <r>
    <x v="5"/>
    <n v="599.96"/>
  </r>
  <r>
    <x v="5"/>
    <n v="499.98"/>
  </r>
  <r>
    <x v="5"/>
    <n v="799.96"/>
  </r>
  <r>
    <x v="5"/>
    <n v="449.95"/>
  </r>
  <r>
    <x v="5"/>
    <n v="149.99"/>
  </r>
  <r>
    <x v="5"/>
    <n v="2799.96"/>
  </r>
  <r>
    <x v="5"/>
    <n v="2699.97"/>
  </r>
  <r>
    <x v="5"/>
    <n v="449.97"/>
  </r>
  <r>
    <x v="5"/>
    <n v="599.98"/>
  </r>
  <r>
    <x v="5"/>
    <n v="199.99"/>
  </r>
  <r>
    <x v="6"/>
    <n v="1199.96"/>
  </r>
  <r>
    <x v="6"/>
    <n v="119.98"/>
  </r>
  <r>
    <x v="6"/>
    <n v="599.96"/>
  </r>
  <r>
    <x v="6"/>
    <n v="1399.98"/>
  </r>
  <r>
    <x v="6"/>
    <n v="449.97"/>
  </r>
  <r>
    <x v="6"/>
    <n v="899.97"/>
  </r>
  <r>
    <x v="6"/>
    <n v="2699.97"/>
  </r>
  <r>
    <x v="6"/>
    <n v="3499.95"/>
  </r>
  <r>
    <x v="6"/>
    <n v="2799.96"/>
  </r>
  <r>
    <x v="6"/>
    <n v="899.99"/>
  </r>
  <r>
    <x v="6"/>
    <n v="299.98"/>
  </r>
  <r>
    <x v="6"/>
    <n v="269.97000000000003"/>
  </r>
  <r>
    <x v="6"/>
    <n v="299.98"/>
  </r>
  <r>
    <x v="6"/>
    <n v="1399.98"/>
  </r>
  <r>
    <x v="6"/>
    <n v="3499.95"/>
  </r>
  <r>
    <x v="6"/>
    <n v="269.97000000000003"/>
  </r>
  <r>
    <x v="7"/>
    <n v="1249.95"/>
  </r>
  <r>
    <x v="7"/>
    <n v="899.97"/>
  </r>
  <r>
    <x v="7"/>
    <n v="269.97000000000003"/>
  </r>
  <r>
    <x v="7"/>
    <n v="299.98"/>
  </r>
  <r>
    <x v="7"/>
    <n v="249.99"/>
  </r>
  <r>
    <x v="7"/>
    <n v="449.97"/>
  </r>
  <r>
    <x v="7"/>
    <n v="299.95"/>
  </r>
  <r>
    <x v="7"/>
    <n v="999.96"/>
  </r>
  <r>
    <x v="7"/>
    <n v="749.95"/>
  </r>
  <r>
    <x v="7"/>
    <n v="179.97"/>
  </r>
  <r>
    <x v="7"/>
    <n v="749.95"/>
  </r>
  <r>
    <x v="7"/>
    <n v="1399.98"/>
  </r>
  <r>
    <x v="7"/>
    <n v="799.96"/>
  </r>
  <r>
    <x v="7"/>
    <n v="59.99"/>
  </r>
  <r>
    <x v="7"/>
    <n v="2099.9699999999998"/>
  </r>
  <r>
    <x v="7"/>
    <n v="1249.95"/>
  </r>
  <r>
    <x v="7"/>
    <n v="299.98"/>
  </r>
  <r>
    <x v="8"/>
    <n v="899.97"/>
  </r>
  <r>
    <x v="8"/>
    <n v="1249.95"/>
  </r>
  <r>
    <x v="8"/>
    <n v="299.98"/>
  </r>
  <r>
    <x v="8"/>
    <n v="3499.95"/>
  </r>
  <r>
    <x v="8"/>
    <n v="999.96"/>
  </r>
  <r>
    <x v="8"/>
    <n v="2799.96"/>
  </r>
  <r>
    <x v="8"/>
    <n v="499.98"/>
  </r>
  <r>
    <x v="8"/>
    <n v="179.97"/>
  </r>
  <r>
    <x v="8"/>
    <n v="319.95999999999998"/>
  </r>
  <r>
    <x v="8"/>
    <n v="239.97"/>
  </r>
  <r>
    <x v="8"/>
    <n v="1799.98"/>
  </r>
  <r>
    <x v="8"/>
    <n v="149.99"/>
  </r>
  <r>
    <x v="8"/>
    <n v="599.98"/>
  </r>
  <r>
    <x v="8"/>
    <n v="119.98"/>
  </r>
  <r>
    <x v="8"/>
    <n v="89.99"/>
  </r>
  <r>
    <x v="8"/>
    <n v="4499.95"/>
  </r>
  <r>
    <x v="8"/>
    <n v="299.98"/>
  </r>
  <r>
    <x v="8"/>
    <n v="299.98"/>
  </r>
  <r>
    <x v="8"/>
    <n v="449.97"/>
  </r>
  <r>
    <x v="8"/>
    <n v="599.98"/>
  </r>
  <r>
    <x v="8"/>
    <n v="599.98"/>
  </r>
  <r>
    <x v="8"/>
    <n v="799.96"/>
  </r>
  <r>
    <x v="8"/>
    <n v="89.99"/>
  </r>
  <r>
    <x v="8"/>
    <n v="749.95"/>
  </r>
  <r>
    <x v="8"/>
    <n v="899.99"/>
  </r>
  <r>
    <x v="9"/>
    <n v="179.98"/>
  </r>
  <r>
    <x v="9"/>
    <n v="899.99"/>
  </r>
  <r>
    <x v="9"/>
    <n v="749.95"/>
  </r>
  <r>
    <x v="9"/>
    <n v="899.97"/>
  </r>
  <r>
    <x v="9"/>
    <n v="2099.9699999999998"/>
  </r>
  <r>
    <x v="9"/>
    <n v="999.95"/>
  </r>
  <r>
    <x v="9"/>
    <n v="1249.95"/>
  </r>
  <r>
    <x v="9"/>
    <n v="599.96"/>
  </r>
  <r>
    <x v="9"/>
    <n v="2099.9699999999998"/>
  </r>
  <r>
    <x v="9"/>
    <n v="79.989999999999995"/>
  </r>
  <r>
    <x v="9"/>
    <n v="299.99"/>
  </r>
  <r>
    <x v="9"/>
    <n v="999.96"/>
  </r>
  <r>
    <x v="9"/>
    <n v="299.98"/>
  </r>
  <r>
    <x v="9"/>
    <n v="899.97"/>
  </r>
  <r>
    <x v="9"/>
    <n v="799.96"/>
  </r>
  <r>
    <x v="9"/>
    <n v="1499.95"/>
  </r>
  <r>
    <x v="9"/>
    <n v="449.97"/>
  </r>
  <r>
    <x v="9"/>
    <n v="299.95"/>
  </r>
  <r>
    <x v="9"/>
    <n v="239.96"/>
  </r>
  <r>
    <x v="9"/>
    <n v="999.96"/>
  </r>
  <r>
    <x v="9"/>
    <n v="3599.96"/>
  </r>
  <r>
    <x v="9"/>
    <n v="899.97"/>
  </r>
  <r>
    <x v="9"/>
    <n v="1399.98"/>
  </r>
  <r>
    <x v="9"/>
    <n v="2799.96"/>
  </r>
  <r>
    <x v="9"/>
    <n v="179.98"/>
  </r>
  <r>
    <x v="9"/>
    <n v="269.97000000000003"/>
  </r>
  <r>
    <x v="10"/>
    <n v="59.99"/>
  </r>
  <r>
    <x v="10"/>
    <n v="449.97"/>
  </r>
  <r>
    <x v="10"/>
    <n v="1499.95"/>
  </r>
  <r>
    <x v="10"/>
    <n v="299.95"/>
  </r>
  <r>
    <x v="10"/>
    <n v="239.97"/>
  </r>
  <r>
    <x v="10"/>
    <n v="599.97"/>
  </r>
  <r>
    <x v="10"/>
    <n v="179.98"/>
  </r>
  <r>
    <x v="10"/>
    <n v="299.98"/>
  </r>
  <r>
    <x v="10"/>
    <n v="3499.95"/>
  </r>
  <r>
    <x v="10"/>
    <n v="449.97"/>
  </r>
  <r>
    <x v="10"/>
    <n v="2699.97"/>
  </r>
  <r>
    <x v="10"/>
    <n v="599.97"/>
  </r>
  <r>
    <x v="10"/>
    <n v="1499.95"/>
  </r>
  <r>
    <x v="10"/>
    <n v="699.99"/>
  </r>
  <r>
    <x v="10"/>
    <n v="699.99"/>
  </r>
  <r>
    <x v="10"/>
    <n v="599.96"/>
  </r>
  <r>
    <x v="10"/>
    <n v="449.95"/>
  </r>
  <r>
    <x v="10"/>
    <n v="399.98"/>
  </r>
  <r>
    <x v="10"/>
    <n v="239.96"/>
  </r>
  <r>
    <x v="10"/>
    <n v="599.98"/>
  </r>
  <r>
    <x v="11"/>
    <n v="299.98"/>
  </r>
  <r>
    <x v="11"/>
    <n v="3499.95"/>
  </r>
  <r>
    <x v="11"/>
    <n v="299.95"/>
  </r>
  <r>
    <x v="11"/>
    <n v="179.98"/>
  </r>
  <r>
    <x v="11"/>
    <n v="1249.95"/>
  </r>
  <r>
    <x v="11"/>
    <n v="299.98"/>
  </r>
  <r>
    <x v="11"/>
    <n v="4499.95"/>
  </r>
  <r>
    <x v="11"/>
    <n v="599.96"/>
  </r>
  <r>
    <x v="11"/>
    <n v="249.99"/>
  </r>
  <r>
    <x v="11"/>
    <n v="119.98"/>
  </r>
  <r>
    <x v="11"/>
    <n v="299.98"/>
  </r>
  <r>
    <x v="11"/>
    <n v="2699.97"/>
  </r>
  <r>
    <x v="11"/>
    <n v="2699.97"/>
  </r>
  <r>
    <x v="11"/>
    <n v="899.97"/>
  </r>
  <r>
    <x v="11"/>
    <n v="599.96"/>
  </r>
  <r>
    <x v="11"/>
    <n v="319.95999999999998"/>
  </r>
  <r>
    <x v="11"/>
    <n v="449.95"/>
  </r>
  <r>
    <x v="11"/>
    <n v="449.97"/>
  </r>
  <r>
    <x v="11"/>
    <n v="179.98"/>
  </r>
  <r>
    <x v="0"/>
    <n v="1399.98"/>
  </r>
  <r>
    <x v="0"/>
    <n v="2699.97"/>
  </r>
  <r>
    <x v="0"/>
    <n v="239.97"/>
  </r>
  <r>
    <x v="0"/>
    <n v="89.99"/>
  </r>
  <r>
    <x v="0"/>
    <n v="2099.9699999999998"/>
  </r>
  <r>
    <x v="0"/>
    <n v="179.98"/>
  </r>
  <r>
    <x v="0"/>
    <n v="269.97000000000003"/>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
  <r>
    <x v="0"/>
    <x v="0"/>
    <x v="0"/>
  </r>
  <r>
    <x v="1"/>
    <x v="0"/>
    <x v="0"/>
  </r>
  <r>
    <x v="2"/>
    <x v="0"/>
    <x v="1"/>
  </r>
  <r>
    <x v="3"/>
    <x v="0"/>
    <x v="1"/>
  </r>
  <r>
    <x v="3"/>
    <x v="0"/>
    <x v="2"/>
  </r>
  <r>
    <x v="4"/>
    <x v="0"/>
    <x v="3"/>
  </r>
  <r>
    <x v="4"/>
    <x v="0"/>
    <x v="2"/>
  </r>
  <r>
    <x v="4"/>
    <x v="0"/>
    <x v="1"/>
  </r>
  <r>
    <x v="5"/>
    <x v="0"/>
    <x v="4"/>
  </r>
  <r>
    <x v="6"/>
    <x v="0"/>
    <x v="1"/>
  </r>
  <r>
    <x v="6"/>
    <x v="0"/>
    <x v="5"/>
  </r>
  <r>
    <x v="6"/>
    <x v="0"/>
    <x v="2"/>
  </r>
  <r>
    <x v="6"/>
    <x v="0"/>
    <x v="6"/>
  </r>
  <r>
    <x v="7"/>
    <x v="0"/>
    <x v="1"/>
  </r>
  <r>
    <x v="7"/>
    <x v="0"/>
    <x v="7"/>
  </r>
  <r>
    <x v="7"/>
    <x v="0"/>
    <x v="8"/>
  </r>
  <r>
    <x v="8"/>
    <x v="0"/>
    <x v="9"/>
  </r>
  <r>
    <x v="8"/>
    <x v="0"/>
    <x v="10"/>
  </r>
  <r>
    <x v="8"/>
    <x v="0"/>
    <x v="11"/>
  </r>
  <r>
    <x v="8"/>
    <x v="0"/>
    <x v="0"/>
  </r>
  <r>
    <x v="9"/>
    <x v="0"/>
    <x v="12"/>
  </r>
  <r>
    <x v="10"/>
    <x v="1"/>
    <x v="13"/>
  </r>
  <r>
    <x v="11"/>
    <x v="1"/>
    <x v="14"/>
  </r>
  <r>
    <x v="12"/>
    <x v="1"/>
    <x v="15"/>
  </r>
  <r>
    <x v="13"/>
    <x v="1"/>
    <x v="16"/>
  </r>
  <r>
    <x v="14"/>
    <x v="1"/>
    <x v="17"/>
  </r>
  <r>
    <x v="14"/>
    <x v="1"/>
    <x v="18"/>
  </r>
  <r>
    <x v="14"/>
    <x v="1"/>
    <x v="19"/>
  </r>
  <r>
    <x v="15"/>
    <x v="1"/>
    <x v="3"/>
  </r>
  <r>
    <x v="16"/>
    <x v="1"/>
    <x v="20"/>
  </r>
  <r>
    <x v="16"/>
    <x v="1"/>
    <x v="21"/>
  </r>
  <r>
    <x v="17"/>
    <x v="1"/>
    <x v="22"/>
  </r>
  <r>
    <x v="18"/>
    <x v="1"/>
    <x v="6"/>
  </r>
  <r>
    <x v="19"/>
    <x v="1"/>
    <x v="8"/>
  </r>
  <r>
    <x v="20"/>
    <x v="1"/>
    <x v="23"/>
  </r>
  <r>
    <x v="21"/>
    <x v="1"/>
    <x v="18"/>
  </r>
  <r>
    <x v="22"/>
    <x v="1"/>
    <x v="24"/>
  </r>
  <r>
    <x v="23"/>
    <x v="1"/>
    <x v="12"/>
  </r>
  <r>
    <x v="24"/>
    <x v="1"/>
    <x v="25"/>
  </r>
  <r>
    <x v="25"/>
    <x v="1"/>
    <x v="26"/>
  </r>
  <r>
    <x v="26"/>
    <x v="2"/>
    <x v="3"/>
  </r>
  <r>
    <x v="26"/>
    <x v="2"/>
    <x v="27"/>
  </r>
  <r>
    <x v="27"/>
    <x v="2"/>
    <x v="19"/>
  </r>
  <r>
    <x v="28"/>
    <x v="2"/>
    <x v="16"/>
  </r>
  <r>
    <x v="28"/>
    <x v="2"/>
    <x v="27"/>
  </r>
  <r>
    <x v="29"/>
    <x v="2"/>
    <x v="22"/>
  </r>
  <r>
    <x v="30"/>
    <x v="2"/>
    <x v="20"/>
  </r>
  <r>
    <x v="31"/>
    <x v="2"/>
    <x v="19"/>
  </r>
  <r>
    <x v="32"/>
    <x v="2"/>
    <x v="28"/>
  </r>
  <r>
    <x v="32"/>
    <x v="2"/>
    <x v="29"/>
  </r>
  <r>
    <x v="32"/>
    <x v="2"/>
    <x v="29"/>
  </r>
  <r>
    <x v="33"/>
    <x v="2"/>
    <x v="30"/>
  </r>
  <r>
    <x v="33"/>
    <x v="2"/>
    <x v="31"/>
  </r>
  <r>
    <x v="34"/>
    <x v="2"/>
    <x v="32"/>
  </r>
  <r>
    <x v="35"/>
    <x v="2"/>
    <x v="26"/>
  </r>
  <r>
    <x v="35"/>
    <x v="2"/>
    <x v="28"/>
  </r>
  <r>
    <x v="36"/>
    <x v="2"/>
    <x v="7"/>
  </r>
  <r>
    <x v="36"/>
    <x v="2"/>
    <x v="11"/>
  </r>
  <r>
    <x v="37"/>
    <x v="2"/>
    <x v="5"/>
  </r>
  <r>
    <x v="38"/>
    <x v="3"/>
    <x v="28"/>
  </r>
  <r>
    <x v="39"/>
    <x v="3"/>
    <x v="27"/>
  </r>
  <r>
    <x v="40"/>
    <x v="3"/>
    <x v="27"/>
  </r>
  <r>
    <x v="40"/>
    <x v="3"/>
    <x v="33"/>
  </r>
  <r>
    <x v="41"/>
    <x v="3"/>
    <x v="5"/>
  </r>
  <r>
    <x v="41"/>
    <x v="3"/>
    <x v="10"/>
  </r>
  <r>
    <x v="41"/>
    <x v="3"/>
    <x v="19"/>
  </r>
  <r>
    <x v="42"/>
    <x v="3"/>
    <x v="20"/>
  </r>
  <r>
    <x v="43"/>
    <x v="3"/>
    <x v="5"/>
  </r>
  <r>
    <x v="43"/>
    <x v="3"/>
    <x v="34"/>
  </r>
  <r>
    <x v="44"/>
    <x v="3"/>
    <x v="35"/>
  </r>
  <r>
    <x v="45"/>
    <x v="3"/>
    <x v="1"/>
  </r>
  <r>
    <x v="45"/>
    <x v="3"/>
    <x v="6"/>
  </r>
  <r>
    <x v="46"/>
    <x v="3"/>
    <x v="24"/>
  </r>
  <r>
    <x v="47"/>
    <x v="3"/>
    <x v="8"/>
  </r>
  <r>
    <x v="48"/>
    <x v="3"/>
    <x v="29"/>
  </r>
  <r>
    <x v="49"/>
    <x v="3"/>
    <x v="3"/>
  </r>
  <r>
    <x v="49"/>
    <x v="3"/>
    <x v="14"/>
  </r>
  <r>
    <x v="50"/>
    <x v="3"/>
    <x v="36"/>
  </r>
  <r>
    <x v="50"/>
    <x v="3"/>
    <x v="34"/>
  </r>
  <r>
    <x v="51"/>
    <x v="3"/>
    <x v="28"/>
  </r>
  <r>
    <x v="51"/>
    <x v="3"/>
    <x v="23"/>
  </r>
  <r>
    <x v="52"/>
    <x v="3"/>
    <x v="10"/>
  </r>
  <r>
    <x v="53"/>
    <x v="3"/>
    <x v="11"/>
  </r>
  <r>
    <x v="54"/>
    <x v="4"/>
    <x v="22"/>
  </r>
  <r>
    <x v="55"/>
    <x v="4"/>
    <x v="22"/>
  </r>
  <r>
    <x v="56"/>
    <x v="4"/>
    <x v="27"/>
  </r>
  <r>
    <x v="57"/>
    <x v="4"/>
    <x v="17"/>
  </r>
  <r>
    <x v="58"/>
    <x v="4"/>
    <x v="9"/>
  </r>
  <r>
    <x v="58"/>
    <x v="4"/>
    <x v="16"/>
  </r>
  <r>
    <x v="58"/>
    <x v="4"/>
    <x v="0"/>
  </r>
  <r>
    <x v="58"/>
    <x v="4"/>
    <x v="37"/>
  </r>
  <r>
    <x v="59"/>
    <x v="4"/>
    <x v="21"/>
  </r>
  <r>
    <x v="60"/>
    <x v="4"/>
    <x v="28"/>
  </r>
  <r>
    <x v="61"/>
    <x v="4"/>
    <x v="29"/>
  </r>
  <r>
    <x v="61"/>
    <x v="4"/>
    <x v="6"/>
  </r>
  <r>
    <x v="62"/>
    <x v="4"/>
    <x v="2"/>
  </r>
  <r>
    <x v="63"/>
    <x v="4"/>
    <x v="18"/>
  </r>
  <r>
    <x v="63"/>
    <x v="4"/>
    <x v="36"/>
  </r>
  <r>
    <x v="64"/>
    <x v="4"/>
    <x v="38"/>
  </r>
  <r>
    <x v="64"/>
    <x v="4"/>
    <x v="6"/>
  </r>
  <r>
    <x v="65"/>
    <x v="4"/>
    <x v="10"/>
  </r>
  <r>
    <x v="66"/>
    <x v="5"/>
    <x v="39"/>
  </r>
  <r>
    <x v="66"/>
    <x v="5"/>
    <x v="39"/>
  </r>
  <r>
    <x v="67"/>
    <x v="5"/>
    <x v="10"/>
  </r>
  <r>
    <x v="68"/>
    <x v="5"/>
    <x v="1"/>
  </r>
  <r>
    <x v="69"/>
    <x v="5"/>
    <x v="1"/>
  </r>
  <r>
    <x v="69"/>
    <x v="5"/>
    <x v="40"/>
  </r>
  <r>
    <x v="70"/>
    <x v="5"/>
    <x v="26"/>
  </r>
  <r>
    <x v="71"/>
    <x v="5"/>
    <x v="23"/>
  </r>
  <r>
    <x v="72"/>
    <x v="5"/>
    <x v="28"/>
  </r>
  <r>
    <x v="73"/>
    <x v="5"/>
    <x v="9"/>
  </r>
  <r>
    <x v="74"/>
    <x v="5"/>
    <x v="36"/>
  </r>
  <r>
    <x v="74"/>
    <x v="5"/>
    <x v="37"/>
  </r>
  <r>
    <x v="75"/>
    <x v="5"/>
    <x v="19"/>
  </r>
  <r>
    <x v="75"/>
    <x v="5"/>
    <x v="5"/>
  </r>
  <r>
    <x v="75"/>
    <x v="5"/>
    <x v="13"/>
  </r>
  <r>
    <x v="76"/>
    <x v="5"/>
    <x v="4"/>
  </r>
  <r>
    <x v="77"/>
    <x v="5"/>
    <x v="6"/>
  </r>
  <r>
    <x v="78"/>
    <x v="5"/>
    <x v="31"/>
  </r>
  <r>
    <x v="79"/>
    <x v="5"/>
    <x v="41"/>
  </r>
  <r>
    <x v="80"/>
    <x v="6"/>
    <x v="15"/>
  </r>
  <r>
    <x v="81"/>
    <x v="6"/>
    <x v="3"/>
  </r>
  <r>
    <x v="81"/>
    <x v="6"/>
    <x v="9"/>
  </r>
  <r>
    <x v="82"/>
    <x v="6"/>
    <x v="10"/>
  </r>
  <r>
    <x v="82"/>
    <x v="6"/>
    <x v="6"/>
  </r>
  <r>
    <x v="83"/>
    <x v="6"/>
    <x v="23"/>
  </r>
  <r>
    <x v="84"/>
    <x v="6"/>
    <x v="4"/>
  </r>
  <r>
    <x v="85"/>
    <x v="6"/>
    <x v="12"/>
  </r>
  <r>
    <x v="85"/>
    <x v="6"/>
    <x v="13"/>
  </r>
  <r>
    <x v="85"/>
    <x v="6"/>
    <x v="8"/>
  </r>
  <r>
    <x v="86"/>
    <x v="6"/>
    <x v="22"/>
  </r>
  <r>
    <x v="87"/>
    <x v="6"/>
    <x v="25"/>
  </r>
  <r>
    <x v="88"/>
    <x v="6"/>
    <x v="22"/>
  </r>
  <r>
    <x v="88"/>
    <x v="6"/>
    <x v="10"/>
  </r>
  <r>
    <x v="89"/>
    <x v="6"/>
    <x v="12"/>
  </r>
  <r>
    <x v="90"/>
    <x v="6"/>
    <x v="25"/>
  </r>
  <r>
    <x v="91"/>
    <x v="7"/>
    <x v="16"/>
  </r>
  <r>
    <x v="92"/>
    <x v="7"/>
    <x v="23"/>
  </r>
  <r>
    <x v="93"/>
    <x v="7"/>
    <x v="25"/>
  </r>
  <r>
    <x v="94"/>
    <x v="7"/>
    <x v="22"/>
  </r>
  <r>
    <x v="95"/>
    <x v="7"/>
    <x v="39"/>
  </r>
  <r>
    <x v="96"/>
    <x v="7"/>
    <x v="6"/>
  </r>
  <r>
    <x v="96"/>
    <x v="7"/>
    <x v="42"/>
  </r>
  <r>
    <x v="96"/>
    <x v="7"/>
    <x v="14"/>
  </r>
  <r>
    <x v="97"/>
    <x v="7"/>
    <x v="2"/>
  </r>
  <r>
    <x v="97"/>
    <x v="7"/>
    <x v="1"/>
  </r>
  <r>
    <x v="98"/>
    <x v="7"/>
    <x v="2"/>
  </r>
  <r>
    <x v="98"/>
    <x v="7"/>
    <x v="10"/>
  </r>
  <r>
    <x v="99"/>
    <x v="7"/>
    <x v="37"/>
  </r>
  <r>
    <x v="100"/>
    <x v="7"/>
    <x v="30"/>
  </r>
  <r>
    <x v="100"/>
    <x v="7"/>
    <x v="7"/>
  </r>
  <r>
    <x v="101"/>
    <x v="7"/>
    <x v="16"/>
  </r>
  <r>
    <x v="102"/>
    <x v="7"/>
    <x v="22"/>
  </r>
  <r>
    <x v="103"/>
    <x v="8"/>
    <x v="23"/>
  </r>
  <r>
    <x v="103"/>
    <x v="8"/>
    <x v="16"/>
  </r>
  <r>
    <x v="103"/>
    <x v="8"/>
    <x v="22"/>
  </r>
  <r>
    <x v="103"/>
    <x v="8"/>
    <x v="12"/>
  </r>
  <r>
    <x v="104"/>
    <x v="8"/>
    <x v="14"/>
  </r>
  <r>
    <x v="105"/>
    <x v="8"/>
    <x v="13"/>
  </r>
  <r>
    <x v="106"/>
    <x v="8"/>
    <x v="36"/>
  </r>
  <r>
    <x v="106"/>
    <x v="8"/>
    <x v="1"/>
  </r>
  <r>
    <x v="106"/>
    <x v="8"/>
    <x v="40"/>
  </r>
  <r>
    <x v="107"/>
    <x v="8"/>
    <x v="18"/>
  </r>
  <r>
    <x v="108"/>
    <x v="8"/>
    <x v="43"/>
  </r>
  <r>
    <x v="109"/>
    <x v="8"/>
    <x v="5"/>
  </r>
  <r>
    <x v="109"/>
    <x v="8"/>
    <x v="31"/>
  </r>
  <r>
    <x v="110"/>
    <x v="8"/>
    <x v="3"/>
  </r>
  <r>
    <x v="111"/>
    <x v="8"/>
    <x v="27"/>
  </r>
  <r>
    <x v="111"/>
    <x v="8"/>
    <x v="29"/>
  </r>
  <r>
    <x v="112"/>
    <x v="8"/>
    <x v="22"/>
  </r>
  <r>
    <x v="113"/>
    <x v="8"/>
    <x v="22"/>
  </r>
  <r>
    <x v="113"/>
    <x v="8"/>
    <x v="6"/>
  </r>
  <r>
    <x v="114"/>
    <x v="8"/>
    <x v="31"/>
  </r>
  <r>
    <x v="115"/>
    <x v="8"/>
    <x v="31"/>
  </r>
  <r>
    <x v="115"/>
    <x v="8"/>
    <x v="37"/>
  </r>
  <r>
    <x v="116"/>
    <x v="8"/>
    <x v="27"/>
  </r>
  <r>
    <x v="116"/>
    <x v="8"/>
    <x v="2"/>
  </r>
  <r>
    <x v="117"/>
    <x v="8"/>
    <x v="8"/>
  </r>
  <r>
    <x v="118"/>
    <x v="9"/>
    <x v="28"/>
  </r>
  <r>
    <x v="119"/>
    <x v="9"/>
    <x v="8"/>
  </r>
  <r>
    <x v="120"/>
    <x v="9"/>
    <x v="2"/>
  </r>
  <r>
    <x v="120"/>
    <x v="9"/>
    <x v="23"/>
  </r>
  <r>
    <x v="121"/>
    <x v="9"/>
    <x v="7"/>
  </r>
  <r>
    <x v="122"/>
    <x v="9"/>
    <x v="21"/>
  </r>
  <r>
    <x v="122"/>
    <x v="9"/>
    <x v="16"/>
  </r>
  <r>
    <x v="123"/>
    <x v="9"/>
    <x v="9"/>
  </r>
  <r>
    <x v="123"/>
    <x v="9"/>
    <x v="7"/>
  </r>
  <r>
    <x v="124"/>
    <x v="9"/>
    <x v="26"/>
  </r>
  <r>
    <x v="124"/>
    <x v="9"/>
    <x v="34"/>
  </r>
  <r>
    <x v="125"/>
    <x v="9"/>
    <x v="14"/>
  </r>
  <r>
    <x v="125"/>
    <x v="9"/>
    <x v="22"/>
  </r>
  <r>
    <x v="125"/>
    <x v="9"/>
    <x v="23"/>
  </r>
  <r>
    <x v="126"/>
    <x v="9"/>
    <x v="37"/>
  </r>
  <r>
    <x v="126"/>
    <x v="9"/>
    <x v="17"/>
  </r>
  <r>
    <x v="126"/>
    <x v="9"/>
    <x v="6"/>
  </r>
  <r>
    <x v="127"/>
    <x v="9"/>
    <x v="42"/>
  </r>
  <r>
    <x v="128"/>
    <x v="9"/>
    <x v="20"/>
  </r>
  <r>
    <x v="129"/>
    <x v="9"/>
    <x v="14"/>
  </r>
  <r>
    <x v="130"/>
    <x v="9"/>
    <x v="11"/>
  </r>
  <r>
    <x v="130"/>
    <x v="9"/>
    <x v="23"/>
  </r>
  <r>
    <x v="130"/>
    <x v="9"/>
    <x v="10"/>
  </r>
  <r>
    <x v="131"/>
    <x v="9"/>
    <x v="13"/>
  </r>
  <r>
    <x v="131"/>
    <x v="9"/>
    <x v="28"/>
  </r>
  <r>
    <x v="131"/>
    <x v="9"/>
    <x v="25"/>
  </r>
  <r>
    <x v="132"/>
    <x v="10"/>
    <x v="30"/>
  </r>
  <r>
    <x v="133"/>
    <x v="10"/>
    <x v="6"/>
  </r>
  <r>
    <x v="133"/>
    <x v="10"/>
    <x v="17"/>
  </r>
  <r>
    <x v="134"/>
    <x v="10"/>
    <x v="42"/>
  </r>
  <r>
    <x v="135"/>
    <x v="10"/>
    <x v="18"/>
  </r>
  <r>
    <x v="136"/>
    <x v="10"/>
    <x v="24"/>
  </r>
  <r>
    <x v="136"/>
    <x v="10"/>
    <x v="28"/>
  </r>
  <r>
    <x v="137"/>
    <x v="10"/>
    <x v="22"/>
  </r>
  <r>
    <x v="138"/>
    <x v="10"/>
    <x v="12"/>
  </r>
  <r>
    <x v="138"/>
    <x v="10"/>
    <x v="6"/>
  </r>
  <r>
    <x v="139"/>
    <x v="10"/>
    <x v="4"/>
  </r>
  <r>
    <x v="139"/>
    <x v="10"/>
    <x v="24"/>
  </r>
  <r>
    <x v="140"/>
    <x v="10"/>
    <x v="17"/>
  </r>
  <r>
    <x v="140"/>
    <x v="10"/>
    <x v="38"/>
  </r>
  <r>
    <x v="141"/>
    <x v="10"/>
    <x v="38"/>
  </r>
  <r>
    <x v="141"/>
    <x v="10"/>
    <x v="9"/>
  </r>
  <r>
    <x v="141"/>
    <x v="10"/>
    <x v="19"/>
  </r>
  <r>
    <x v="142"/>
    <x v="10"/>
    <x v="35"/>
  </r>
  <r>
    <x v="143"/>
    <x v="10"/>
    <x v="20"/>
  </r>
  <r>
    <x v="143"/>
    <x v="10"/>
    <x v="31"/>
  </r>
  <r>
    <x v="144"/>
    <x v="11"/>
    <x v="22"/>
  </r>
  <r>
    <x v="145"/>
    <x v="11"/>
    <x v="12"/>
  </r>
  <r>
    <x v="146"/>
    <x v="11"/>
    <x v="42"/>
  </r>
  <r>
    <x v="147"/>
    <x v="11"/>
    <x v="28"/>
  </r>
  <r>
    <x v="147"/>
    <x v="11"/>
    <x v="16"/>
  </r>
  <r>
    <x v="148"/>
    <x v="11"/>
    <x v="22"/>
  </r>
  <r>
    <x v="148"/>
    <x v="11"/>
    <x v="29"/>
  </r>
  <r>
    <x v="148"/>
    <x v="11"/>
    <x v="9"/>
  </r>
  <r>
    <x v="149"/>
    <x v="11"/>
    <x v="39"/>
  </r>
  <r>
    <x v="150"/>
    <x v="11"/>
    <x v="3"/>
  </r>
  <r>
    <x v="151"/>
    <x v="11"/>
    <x v="22"/>
  </r>
  <r>
    <x v="151"/>
    <x v="11"/>
    <x v="4"/>
  </r>
  <r>
    <x v="151"/>
    <x v="11"/>
    <x v="4"/>
  </r>
  <r>
    <x v="152"/>
    <x v="11"/>
    <x v="23"/>
  </r>
  <r>
    <x v="153"/>
    <x v="11"/>
    <x v="9"/>
  </r>
  <r>
    <x v="154"/>
    <x v="11"/>
    <x v="40"/>
  </r>
  <r>
    <x v="155"/>
    <x v="11"/>
    <x v="19"/>
  </r>
  <r>
    <x v="156"/>
    <x v="11"/>
    <x v="6"/>
  </r>
  <r>
    <x v="156"/>
    <x v="11"/>
    <x v="28"/>
  </r>
  <r>
    <x v="157"/>
    <x v="0"/>
    <x v="10"/>
  </r>
  <r>
    <x v="158"/>
    <x v="0"/>
    <x v="4"/>
  </r>
  <r>
    <x v="159"/>
    <x v="0"/>
    <x v="18"/>
  </r>
  <r>
    <x v="160"/>
    <x v="0"/>
    <x v="27"/>
  </r>
  <r>
    <x v="161"/>
    <x v="0"/>
    <x v="7"/>
  </r>
  <r>
    <x v="161"/>
    <x v="0"/>
    <x v="28"/>
  </r>
  <r>
    <x v="161"/>
    <x v="0"/>
    <x v="2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0409171-C367-4477-9FB9-BAA03345845C}" name="PivotTable6"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D13:E26" firstHeaderRow="1" firstDataRow="1" firstDataCol="1"/>
  <pivotFields count="2">
    <pivotField axis="axisRow" showAll="0">
      <items count="13">
        <item x="9"/>
        <item x="10"/>
        <item x="11"/>
        <item x="0"/>
        <item x="1"/>
        <item x="2"/>
        <item x="3"/>
        <item x="4"/>
        <item x="5"/>
        <item x="6"/>
        <item x="7"/>
        <item x="8"/>
        <item t="default"/>
      </items>
    </pivotField>
    <pivotField dataField="1" numFmtId="2" showAll="0"/>
  </pivotFields>
  <rowFields count="1">
    <field x="0"/>
  </rowFields>
  <rowItems count="13">
    <i>
      <x/>
    </i>
    <i>
      <x v="1"/>
    </i>
    <i>
      <x v="2"/>
    </i>
    <i>
      <x v="3"/>
    </i>
    <i>
      <x v="4"/>
    </i>
    <i>
      <x v="5"/>
    </i>
    <i>
      <x v="6"/>
    </i>
    <i>
      <x v="7"/>
    </i>
    <i>
      <x v="8"/>
    </i>
    <i>
      <x v="9"/>
    </i>
    <i>
      <x v="10"/>
    </i>
    <i>
      <x v="11"/>
    </i>
    <i t="grand">
      <x/>
    </i>
  </rowItems>
  <colItems count="1">
    <i/>
  </colItems>
  <dataFields count="1">
    <dataField name="Sum of Total_Amount" fld="1" baseField="0" baseItem="0" numFmtId="2"/>
  </dataFields>
  <chartFormats count="1">
    <chartFormat chart="6"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CA115B2-8A8B-4E5B-959B-8521418B4841}"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3:B18" firstHeaderRow="1" firstDataRow="1" firstDataCol="1"/>
  <pivotFields count="2">
    <pivotField axis="axisRow" showAll="0">
      <items count="5">
        <item x="0"/>
        <item x="1"/>
        <item x="3"/>
        <item x="2"/>
        <item t="default"/>
      </items>
    </pivotField>
    <pivotField dataField="1" numFmtId="2" showAll="0">
      <items count="45">
        <item x="30"/>
        <item x="26"/>
        <item x="27"/>
        <item x="3"/>
        <item x="5"/>
        <item x="1"/>
        <item x="28"/>
        <item x="41"/>
        <item x="20"/>
        <item x="18"/>
        <item x="39"/>
        <item x="25"/>
        <item x="42"/>
        <item x="22"/>
        <item x="34"/>
        <item x="40"/>
        <item x="32"/>
        <item x="33"/>
        <item x="35"/>
        <item x="19"/>
        <item x="6"/>
        <item x="36"/>
        <item x="9"/>
        <item x="24"/>
        <item x="31"/>
        <item x="38"/>
        <item x="2"/>
        <item x="0"/>
        <item x="37"/>
        <item x="23"/>
        <item x="8"/>
        <item x="21"/>
        <item x="14"/>
        <item x="15"/>
        <item x="16"/>
        <item x="10"/>
        <item x="17"/>
        <item x="43"/>
        <item x="7"/>
        <item x="4"/>
        <item x="13"/>
        <item x="12"/>
        <item x="11"/>
        <item x="29"/>
        <item t="default"/>
      </items>
    </pivotField>
  </pivotFields>
  <rowFields count="1">
    <field x="0"/>
  </rowFields>
  <rowItems count="5">
    <i>
      <x/>
    </i>
    <i>
      <x v="1"/>
    </i>
    <i>
      <x v="2"/>
    </i>
    <i>
      <x v="3"/>
    </i>
    <i t="grand">
      <x/>
    </i>
  </rowItems>
  <colItems count="1">
    <i/>
  </colItems>
  <dataFields count="1">
    <dataField name="Sum of Total_Amount" fld="1"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ACABDF7-8539-4849-8F15-27AF05ABAB51}"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D4:E8" firstHeaderRow="1" firstDataRow="1" firstDataCol="1"/>
  <pivotFields count="2">
    <pivotField dataField="1" numFmtId="2" showAll="0"/>
    <pivotField axis="axisRow" showAll="0">
      <items count="4">
        <item x="1"/>
        <item x="0"/>
        <item x="2"/>
        <item t="default"/>
      </items>
    </pivotField>
  </pivotFields>
  <rowFields count="1">
    <field x="1"/>
  </rowFields>
  <rowItems count="4">
    <i>
      <x/>
    </i>
    <i>
      <x v="1"/>
    </i>
    <i>
      <x v="2"/>
    </i>
    <i t="grand">
      <x/>
    </i>
  </rowItems>
  <colItems count="1">
    <i/>
  </colItems>
  <dataFields count="1">
    <dataField name="Sum of Total_Amount" fld="0" baseField="0" baseItem="0" numFmtId="2"/>
  </dataFields>
  <chartFormats count="4">
    <chartFormat chart="17" format="4" series="1">
      <pivotArea type="data" outline="0" fieldPosition="0">
        <references count="1">
          <reference field="4294967294" count="1" selected="0">
            <x v="0"/>
          </reference>
        </references>
      </pivotArea>
    </chartFormat>
    <chartFormat chart="17" format="5">
      <pivotArea type="data" outline="0" fieldPosition="0">
        <references count="2">
          <reference field="4294967294" count="1" selected="0">
            <x v="0"/>
          </reference>
          <reference field="1" count="1" selected="0">
            <x v="0"/>
          </reference>
        </references>
      </pivotArea>
    </chartFormat>
    <chartFormat chart="17" format="6">
      <pivotArea type="data" outline="0" fieldPosition="0">
        <references count="2">
          <reference field="4294967294" count="1" selected="0">
            <x v="0"/>
          </reference>
          <reference field="1" count="1" selected="0">
            <x v="1"/>
          </reference>
        </references>
      </pivotArea>
    </chartFormat>
    <chartFormat chart="17" format="7">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0D6B4EC-9A06-4EBD-994E-EB8E9D3866B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4:B10" firstHeaderRow="1" firstDataRow="1" firstDataCol="1"/>
  <pivotFields count="2">
    <pivotField axis="axisRow" showAll="0">
      <items count="6">
        <item x="0"/>
        <item x="4"/>
        <item x="2"/>
        <item x="1"/>
        <item x="3"/>
        <item t="default"/>
      </items>
    </pivotField>
    <pivotField dataField="1" numFmtId="2" showAll="0"/>
  </pivotFields>
  <rowFields count="1">
    <field x="0"/>
  </rowFields>
  <rowItems count="6">
    <i>
      <x/>
    </i>
    <i>
      <x v="1"/>
    </i>
    <i>
      <x v="2"/>
    </i>
    <i>
      <x v="3"/>
    </i>
    <i>
      <x v="4"/>
    </i>
    <i t="grand">
      <x/>
    </i>
  </rowItems>
  <colItems count="1">
    <i/>
  </colItems>
  <dataFields count="1">
    <dataField name="Sum of Total_Amount" fld="1" baseField="0" baseItem="0" numFmtId="2"/>
  </dataFields>
  <chartFormats count="12">
    <chartFormat chart="13" format="1" series="1">
      <pivotArea type="data" outline="0" fieldPosition="0">
        <references count="1">
          <reference field="4294967294" count="1" selected="0">
            <x v="0"/>
          </reference>
        </references>
      </pivotArea>
    </chartFormat>
    <chartFormat chart="13" format="2">
      <pivotArea type="data" outline="0" fieldPosition="0">
        <references count="2">
          <reference field="4294967294" count="1" selected="0">
            <x v="0"/>
          </reference>
          <reference field="0" count="1" selected="0">
            <x v="0"/>
          </reference>
        </references>
      </pivotArea>
    </chartFormat>
    <chartFormat chart="13" format="3">
      <pivotArea type="data" outline="0" fieldPosition="0">
        <references count="2">
          <reference field="4294967294" count="1" selected="0">
            <x v="0"/>
          </reference>
          <reference field="0" count="1" selected="0">
            <x v="1"/>
          </reference>
        </references>
      </pivotArea>
    </chartFormat>
    <chartFormat chart="13" format="4">
      <pivotArea type="data" outline="0" fieldPosition="0">
        <references count="2">
          <reference field="4294967294" count="1" selected="0">
            <x v="0"/>
          </reference>
          <reference field="0" count="1" selected="0">
            <x v="2"/>
          </reference>
        </references>
      </pivotArea>
    </chartFormat>
    <chartFormat chart="13" format="5">
      <pivotArea type="data" outline="0" fieldPosition="0">
        <references count="2">
          <reference field="4294967294" count="1" selected="0">
            <x v="0"/>
          </reference>
          <reference field="0" count="1" selected="0">
            <x v="3"/>
          </reference>
        </references>
      </pivotArea>
    </chartFormat>
    <chartFormat chart="13" format="6">
      <pivotArea type="data" outline="0" fieldPosition="0">
        <references count="2">
          <reference field="4294967294" count="1" selected="0">
            <x v="0"/>
          </reference>
          <reference field="0" count="1" selected="0">
            <x v="4"/>
          </reference>
        </references>
      </pivotArea>
    </chartFormat>
    <chartFormat chart="17" format="6" series="1">
      <pivotArea type="data" outline="0" fieldPosition="0">
        <references count="1">
          <reference field="4294967294" count="1" selected="0">
            <x v="0"/>
          </reference>
        </references>
      </pivotArea>
    </chartFormat>
    <chartFormat chart="17" format="7">
      <pivotArea type="data" outline="0" fieldPosition="0">
        <references count="2">
          <reference field="4294967294" count="1" selected="0">
            <x v="0"/>
          </reference>
          <reference field="0" count="1" selected="0">
            <x v="0"/>
          </reference>
        </references>
      </pivotArea>
    </chartFormat>
    <chartFormat chart="17" format="8">
      <pivotArea type="data" outline="0" fieldPosition="0">
        <references count="2">
          <reference field="4294967294" count="1" selected="0">
            <x v="0"/>
          </reference>
          <reference field="0" count="1" selected="0">
            <x v="1"/>
          </reference>
        </references>
      </pivotArea>
    </chartFormat>
    <chartFormat chart="17" format="9">
      <pivotArea type="data" outline="0" fieldPosition="0">
        <references count="2">
          <reference field="4294967294" count="1" selected="0">
            <x v="0"/>
          </reference>
          <reference field="0" count="1" selected="0">
            <x v="2"/>
          </reference>
        </references>
      </pivotArea>
    </chartFormat>
    <chartFormat chart="17" format="10">
      <pivotArea type="data" outline="0" fieldPosition="0">
        <references count="2">
          <reference field="4294967294" count="1" selected="0">
            <x v="0"/>
          </reference>
          <reference field="0" count="1" selected="0">
            <x v="3"/>
          </reference>
        </references>
      </pivotArea>
    </chartFormat>
    <chartFormat chart="17" format="11">
      <pivotArea type="data" outline="0" fieldPosition="0">
        <references count="2">
          <reference field="4294967294" count="1" selected="0">
            <x v="0"/>
          </reference>
          <reference field="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1C0280CF-AA3B-4895-B639-C04AAF7F925E}" sourceName="Payment_Method">
  <pivotTables>
    <pivotTable tabId="11" name="PivotTable4"/>
  </pivotTables>
  <data>
    <tabular pivotCacheId="1251398149">
      <items count="4">
        <i x="0" s="1"/>
        <i x="1" s="1"/>
        <i x="3"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ED47AA9-F2C8-4BE4-9CD0-4A21CD50A56F}" sourceName="Region">
  <pivotTables>
    <pivotTable tabId="11" name="PivotTable2"/>
  </pivotTables>
  <data>
    <tabular pivotCacheId="1741446048">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C68DB6A6-9DB9-45F8-8870-878B385706CE}" sourceName="month">
  <pivotTables>
    <pivotTable tabId="11" name="PivotTable6"/>
  </pivotTables>
  <data>
    <tabular pivotCacheId="558425774">
      <items count="12">
        <i x="9" s="1"/>
        <i x="10" s="1"/>
        <i x="11" s="1"/>
        <i x="0" s="1"/>
        <i x="1" s="1"/>
        <i x="2" s="1"/>
        <i x="3" s="1"/>
        <i x="4" s="1"/>
        <i x="5" s="1"/>
        <i x="6" s="1"/>
        <i x="7" s="1"/>
        <i x="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_Method 1" xr10:uid="{AC41FBF5-DE85-4266-834D-080204B2CC84}" cache="Slicer_Payment_Method" caption="Payment_Method" rowHeight="336550"/>
  <slicer name="Region 1" xr10:uid="{BCF8FD0F-01C1-4E6C-BED1-5973096D35C7}" cache="Slicer_Region" caption="Region" rowHeight="336550"/>
  <slicer name="month 1" xr10:uid="{F6ABD28C-C298-474A-8DAF-5FCBF6421A00}" cache="Slicer_month" caption="Month" columnCount="4" style="SlicerStyleDark1" rowHeight="3365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43D3D867-FFAA-4BBF-855D-4120D8E7E91B}" sourceName="Date">
  <state minimalRefreshVersion="6" lastRefreshVersion="6" pivotCacheId="843805830" filterType="dateBetween">
    <selection startDate="2025-11-01T00:00:00" endDate="2025-11-30T00:00:00"/>
    <bounds startDate="2024-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7C33BFBF-FF58-43F4-A466-CB2543311B0E}" cache="NativeTimeline_Date" caption="Date" showHeader="0" showSelectionLabel="0" showTimeLevel="0" level="2" selectionLevel="2" scrollPosition="2024-09-12T00:00:00" style="TimeSlicerStyleLight5"/>
</timelines>
</file>

<file path=xl/worksheets/_rels/sheet2.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47D213-EAED-4C0F-8CB1-5CE3032FDD6C}">
  <dimension ref="A1:A147"/>
  <sheetViews>
    <sheetView tabSelected="1" workbookViewId="0">
      <selection activeCell="A17" sqref="A17"/>
    </sheetView>
  </sheetViews>
  <sheetFormatPr defaultRowHeight="21"/>
  <cols>
    <col min="1" max="1" width="106.453125" bestFit="1" customWidth="1"/>
  </cols>
  <sheetData>
    <row r="1" spans="1:1" ht="23.25">
      <c r="A1" s="24" t="s">
        <v>453</v>
      </c>
    </row>
    <row r="3" spans="1:1">
      <c r="A3" s="25" t="s">
        <v>454</v>
      </c>
    </row>
    <row r="4" spans="1:1">
      <c r="A4" s="26"/>
    </row>
    <row r="5" spans="1:1">
      <c r="A5" s="26" t="s">
        <v>455</v>
      </c>
    </row>
    <row r="6" spans="1:1">
      <c r="A6" s="26"/>
    </row>
    <row r="7" spans="1:1">
      <c r="A7" s="26" t="s">
        <v>456</v>
      </c>
    </row>
    <row r="8" spans="1:1">
      <c r="A8" s="26"/>
    </row>
    <row r="9" spans="1:1">
      <c r="A9" s="26" t="s">
        <v>457</v>
      </c>
    </row>
    <row r="13" spans="1:1">
      <c r="A13" s="25" t="s">
        <v>458</v>
      </c>
    </row>
    <row r="14" spans="1:1">
      <c r="A14" s="26"/>
    </row>
    <row r="15" spans="1:1">
      <c r="A15" s="26" t="s">
        <v>459</v>
      </c>
    </row>
    <row r="16" spans="1:1">
      <c r="A16" s="26"/>
    </row>
    <row r="17" spans="1:1">
      <c r="A17" s="26" t="s">
        <v>460</v>
      </c>
    </row>
    <row r="18" spans="1:1">
      <c r="A18" s="26"/>
    </row>
    <row r="19" spans="1:1">
      <c r="A19" s="26"/>
    </row>
    <row r="20" spans="1:1">
      <c r="A20" s="27"/>
    </row>
    <row r="21" spans="1:1">
      <c r="A21" s="27" t="s">
        <v>461</v>
      </c>
    </row>
    <row r="22" spans="1:1">
      <c r="A22" s="27"/>
    </row>
    <row r="23" spans="1:1">
      <c r="A23" s="27" t="s">
        <v>462</v>
      </c>
    </row>
    <row r="24" spans="1:1">
      <c r="A24" s="27"/>
    </row>
    <row r="25" spans="1:1">
      <c r="A25" s="27" t="s">
        <v>463</v>
      </c>
    </row>
    <row r="29" spans="1:1">
      <c r="A29" s="25" t="s">
        <v>464</v>
      </c>
    </row>
    <row r="30" spans="1:1">
      <c r="A30" s="26"/>
    </row>
    <row r="31" spans="1:1">
      <c r="A31" s="28" t="s">
        <v>465</v>
      </c>
    </row>
    <row r="32" spans="1:1">
      <c r="A32" s="26"/>
    </row>
    <row r="33" spans="1:1">
      <c r="A33" s="28" t="s">
        <v>466</v>
      </c>
    </row>
    <row r="34" spans="1:1">
      <c r="A34" s="26"/>
    </row>
    <row r="35" spans="1:1">
      <c r="A35" s="28" t="s">
        <v>467</v>
      </c>
    </row>
    <row r="36" spans="1:1">
      <c r="A36" s="26"/>
    </row>
    <row r="37" spans="1:1">
      <c r="A37" s="28" t="s">
        <v>468</v>
      </c>
    </row>
    <row r="38" spans="1:1">
      <c r="A38" s="26"/>
    </row>
    <row r="39" spans="1:1">
      <c r="A39" s="26"/>
    </row>
    <row r="40" spans="1:1">
      <c r="A40" s="27"/>
    </row>
    <row r="41" spans="1:1">
      <c r="A41" s="27" t="s">
        <v>469</v>
      </c>
    </row>
    <row r="42" spans="1:1">
      <c r="A42" s="27"/>
    </row>
    <row r="43" spans="1:1">
      <c r="A43" s="27" t="s">
        <v>470</v>
      </c>
    </row>
    <row r="47" spans="1:1">
      <c r="A47" s="25" t="s">
        <v>471</v>
      </c>
    </row>
    <row r="48" spans="1:1">
      <c r="A48" s="26"/>
    </row>
    <row r="49" spans="1:1">
      <c r="A49" s="28" t="s">
        <v>472</v>
      </c>
    </row>
    <row r="50" spans="1:1">
      <c r="A50" s="26"/>
    </row>
    <row r="51" spans="1:1">
      <c r="A51" s="28" t="s">
        <v>473</v>
      </c>
    </row>
    <row r="52" spans="1:1">
      <c r="A52" s="26"/>
    </row>
    <row r="53" spans="1:1">
      <c r="A53" s="28" t="s">
        <v>468</v>
      </c>
    </row>
    <row r="54" spans="1:1">
      <c r="A54" s="26"/>
    </row>
    <row r="55" spans="1:1">
      <c r="A55" s="26"/>
    </row>
    <row r="56" spans="1:1">
      <c r="A56" s="27"/>
    </row>
    <row r="57" spans="1:1">
      <c r="A57" s="27" t="s">
        <v>474</v>
      </c>
    </row>
    <row r="58" spans="1:1">
      <c r="A58" s="27"/>
    </row>
    <row r="59" spans="1:1">
      <c r="A59" s="27" t="s">
        <v>475</v>
      </c>
    </row>
    <row r="63" spans="1:1">
      <c r="A63" s="25" t="s">
        <v>476</v>
      </c>
    </row>
    <row r="64" spans="1:1">
      <c r="A64" s="26"/>
    </row>
    <row r="65" spans="1:1">
      <c r="A65" s="28" t="s">
        <v>477</v>
      </c>
    </row>
    <row r="66" spans="1:1">
      <c r="A66" s="26"/>
    </row>
    <row r="67" spans="1:1">
      <c r="A67" s="28" t="s">
        <v>468</v>
      </c>
    </row>
    <row r="68" spans="1:1">
      <c r="A68" s="26"/>
    </row>
    <row r="69" spans="1:1">
      <c r="A69" s="26"/>
    </row>
    <row r="70" spans="1:1">
      <c r="A70" s="27"/>
    </row>
    <row r="71" spans="1:1">
      <c r="A71" s="27" t="s">
        <v>478</v>
      </c>
    </row>
    <row r="72" spans="1:1">
      <c r="A72" s="27"/>
    </row>
    <row r="73" spans="1:1">
      <c r="A73" s="27" t="s">
        <v>479</v>
      </c>
    </row>
    <row r="74" spans="1:1">
      <c r="A74" s="26"/>
    </row>
    <row r="75" spans="1:1">
      <c r="A75" s="28" t="s">
        <v>480</v>
      </c>
    </row>
    <row r="79" spans="1:1">
      <c r="A79" s="25" t="s">
        <v>481</v>
      </c>
    </row>
    <row r="80" spans="1:1">
      <c r="A80" s="26"/>
    </row>
    <row r="81" spans="1:1">
      <c r="A81" s="28" t="s">
        <v>482</v>
      </c>
    </row>
    <row r="82" spans="1:1">
      <c r="A82" s="26"/>
    </row>
    <row r="83" spans="1:1">
      <c r="A83" s="28" t="s">
        <v>468</v>
      </c>
    </row>
    <row r="84" spans="1:1">
      <c r="A84" s="26"/>
    </row>
    <row r="85" spans="1:1">
      <c r="A85" s="26"/>
    </row>
    <row r="86" spans="1:1">
      <c r="A86" s="27"/>
    </row>
    <row r="87" spans="1:1">
      <c r="A87" s="27" t="s">
        <v>483</v>
      </c>
    </row>
    <row r="88" spans="1:1">
      <c r="A88" s="27"/>
    </row>
    <row r="89" spans="1:1">
      <c r="A89" s="27" t="s">
        <v>484</v>
      </c>
    </row>
    <row r="93" spans="1:1">
      <c r="A93" s="25" t="s">
        <v>485</v>
      </c>
    </row>
    <row r="94" spans="1:1">
      <c r="A94" s="26"/>
    </row>
    <row r="95" spans="1:1">
      <c r="A95" s="28" t="s">
        <v>486</v>
      </c>
    </row>
    <row r="96" spans="1:1">
      <c r="A96" s="26"/>
    </row>
    <row r="97" spans="1:1">
      <c r="A97" s="28" t="s">
        <v>487</v>
      </c>
    </row>
    <row r="98" spans="1:1">
      <c r="A98" s="26"/>
    </row>
    <row r="99" spans="1:1">
      <c r="A99" s="26"/>
    </row>
    <row r="100" spans="1:1">
      <c r="A100" s="27"/>
    </row>
    <row r="101" spans="1:1">
      <c r="A101" s="27" t="s">
        <v>488</v>
      </c>
    </row>
    <row r="102" spans="1:1">
      <c r="A102" s="27"/>
    </row>
    <row r="103" spans="1:1">
      <c r="A103" s="27" t="s">
        <v>489</v>
      </c>
    </row>
    <row r="104" spans="1:1">
      <c r="A104" s="27"/>
    </row>
    <row r="105" spans="1:1">
      <c r="A105" s="27" t="s">
        <v>490</v>
      </c>
    </row>
    <row r="106" spans="1:1">
      <c r="A106" s="27"/>
    </row>
    <row r="107" spans="1:1">
      <c r="A107" s="27" t="s">
        <v>491</v>
      </c>
    </row>
    <row r="108" spans="1:1">
      <c r="A108" s="26"/>
    </row>
    <row r="109" spans="1:1">
      <c r="A109" s="28" t="s">
        <v>468</v>
      </c>
    </row>
    <row r="110" spans="1:1">
      <c r="A110" s="26"/>
    </row>
    <row r="111" spans="1:1">
      <c r="A111" s="26"/>
    </row>
    <row r="112" spans="1:1">
      <c r="A112" s="27"/>
    </row>
    <row r="113" spans="1:1">
      <c r="A113" s="27" t="s">
        <v>492</v>
      </c>
    </row>
    <row r="117" spans="1:1">
      <c r="A117" s="25" t="s">
        <v>493</v>
      </c>
    </row>
    <row r="118" spans="1:1">
      <c r="A118" s="26"/>
    </row>
    <row r="119" spans="1:1">
      <c r="A119" s="28" t="s">
        <v>494</v>
      </c>
    </row>
    <row r="120" spans="1:1">
      <c r="A120" s="26"/>
    </row>
    <row r="121" spans="1:1">
      <c r="A121" s="28" t="s">
        <v>495</v>
      </c>
    </row>
    <row r="125" spans="1:1">
      <c r="A125" s="25" t="s">
        <v>496</v>
      </c>
    </row>
    <row r="126" spans="1:1">
      <c r="A126" s="26"/>
    </row>
    <row r="127" spans="1:1">
      <c r="A127" s="26" t="s">
        <v>497</v>
      </c>
    </row>
    <row r="128" spans="1:1">
      <c r="A128" s="26"/>
    </row>
    <row r="129" spans="1:1">
      <c r="A129" s="26" t="s">
        <v>498</v>
      </c>
    </row>
    <row r="130" spans="1:1">
      <c r="A130" s="26"/>
    </row>
    <row r="131" spans="1:1">
      <c r="A131" s="26" t="s">
        <v>499</v>
      </c>
    </row>
    <row r="132" spans="1:1">
      <c r="A132" s="26"/>
    </row>
    <row r="133" spans="1:1">
      <c r="A133" s="26" t="s">
        <v>500</v>
      </c>
    </row>
    <row r="134" spans="1:1">
      <c r="A134" s="26"/>
    </row>
    <row r="135" spans="1:1">
      <c r="A135" s="26" t="s">
        <v>501</v>
      </c>
    </row>
    <row r="139" spans="1:1">
      <c r="A139" s="25" t="s">
        <v>502</v>
      </c>
    </row>
    <row r="140" spans="1:1">
      <c r="A140" s="26"/>
    </row>
    <row r="141" spans="1:1">
      <c r="A141" s="26" t="s">
        <v>503</v>
      </c>
    </row>
    <row r="142" spans="1:1">
      <c r="A142" s="26"/>
    </row>
    <row r="143" spans="1:1">
      <c r="A143" s="26" t="s">
        <v>504</v>
      </c>
    </row>
    <row r="144" spans="1:1">
      <c r="A144" s="26"/>
    </row>
    <row r="145" spans="1:1">
      <c r="A145" s="26" t="s">
        <v>505</v>
      </c>
    </row>
    <row r="146" spans="1:1">
      <c r="A146" s="26"/>
    </row>
    <row r="147" spans="1:1">
      <c r="A147" s="26" t="s">
        <v>506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E11D72-ED20-44F8-97CE-EDE7478350B7}">
  <dimension ref="A1"/>
  <sheetViews>
    <sheetView showGridLines="0" zoomScale="60" zoomScaleNormal="60" workbookViewId="0">
      <selection activeCell="N14" sqref="N14"/>
    </sheetView>
  </sheetViews>
  <sheetFormatPr defaultRowHeight="21"/>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54CB30-1266-4E3C-BDC0-079CBAE4871B}">
  <dimension ref="A1:T251"/>
  <sheetViews>
    <sheetView topLeftCell="B1" zoomScaleNormal="100" workbookViewId="0">
      <selection activeCell="O2" sqref="O2"/>
    </sheetView>
  </sheetViews>
  <sheetFormatPr defaultRowHeight="21"/>
  <cols>
    <col min="1" max="1" width="8.08984375" style="3" bestFit="1" customWidth="1"/>
    <col min="2" max="2" width="6.6328125" style="3" bestFit="1" customWidth="1"/>
    <col min="3" max="3" width="6.6328125" style="3" customWidth="1"/>
    <col min="4" max="4" width="7.90625" style="3" bestFit="1" customWidth="1"/>
    <col min="5" max="5" width="8.7265625" style="3"/>
    <col min="6" max="6" width="6.81640625" style="3" bestFit="1" customWidth="1"/>
    <col min="7" max="7" width="8.26953125" style="3" bestFit="1" customWidth="1"/>
    <col min="8" max="8" width="6.81640625" style="3" bestFit="1" customWidth="1"/>
    <col min="9" max="9" width="6.08984375" style="3" bestFit="1" customWidth="1"/>
    <col min="10" max="10" width="6.54296875" style="3" bestFit="1" customWidth="1"/>
    <col min="11" max="11" width="8.6328125" style="3" bestFit="1" customWidth="1"/>
    <col min="12" max="12" width="4.7265625" style="3" bestFit="1" customWidth="1"/>
    <col min="13" max="13" width="8.7265625" style="3"/>
    <col min="14" max="14" width="8.453125" style="3" bestFit="1" customWidth="1"/>
    <col min="15" max="15" width="8.6328125" style="22" bestFit="1" customWidth="1"/>
    <col min="16" max="16" width="5.90625" style="3" bestFit="1" customWidth="1"/>
    <col min="17" max="18" width="8.7265625" style="3"/>
    <col min="19" max="19" width="11.6328125" style="3" bestFit="1" customWidth="1"/>
    <col min="20" max="20" width="4.08984375" style="21" bestFit="1" customWidth="1"/>
  </cols>
  <sheetData>
    <row r="1" spans="1:20" ht="31.5">
      <c r="A1" s="9" t="s">
        <v>0</v>
      </c>
      <c r="B1" s="23" t="s">
        <v>1</v>
      </c>
      <c r="C1" s="23" t="s">
        <v>437</v>
      </c>
      <c r="D1" s="9" t="s">
        <v>2</v>
      </c>
      <c r="E1" s="9" t="s">
        <v>3</v>
      </c>
      <c r="F1" s="9" t="s">
        <v>4</v>
      </c>
      <c r="G1" s="9" t="s">
        <v>5</v>
      </c>
      <c r="H1" s="9" t="s">
        <v>6</v>
      </c>
      <c r="I1" s="9" t="s">
        <v>7</v>
      </c>
      <c r="J1" s="9" t="s">
        <v>8</v>
      </c>
      <c r="K1" s="9" t="s">
        <v>9</v>
      </c>
      <c r="L1" s="9" t="s">
        <v>10</v>
      </c>
      <c r="M1" s="9" t="s">
        <v>11</v>
      </c>
      <c r="N1" s="9" t="s">
        <v>12</v>
      </c>
      <c r="O1" s="15" t="s">
        <v>13</v>
      </c>
      <c r="P1" s="9" t="s">
        <v>399</v>
      </c>
      <c r="Q1" s="16" t="s">
        <v>402</v>
      </c>
      <c r="R1" s="16" t="s">
        <v>403</v>
      </c>
      <c r="S1" s="16" t="s">
        <v>404</v>
      </c>
      <c r="T1" s="16" t="s">
        <v>433</v>
      </c>
    </row>
    <row r="2" spans="1:20">
      <c r="A2" s="11" t="s">
        <v>14</v>
      </c>
      <c r="B2" s="18">
        <v>45393</v>
      </c>
      <c r="C2" s="18" t="str">
        <f>TEXT(B2,"mmmm")</f>
        <v>April</v>
      </c>
      <c r="D2" s="11" t="s">
        <v>15</v>
      </c>
      <c r="E2" s="11" t="s">
        <v>16</v>
      </c>
      <c r="F2" s="11" t="s">
        <v>17</v>
      </c>
      <c r="G2" s="11" t="s">
        <v>18</v>
      </c>
      <c r="H2" s="11" t="s">
        <v>19</v>
      </c>
      <c r="I2" s="17">
        <v>5</v>
      </c>
      <c r="J2" s="17">
        <v>274.98</v>
      </c>
      <c r="K2" s="11" t="s">
        <v>20</v>
      </c>
      <c r="L2" s="11" t="s">
        <v>21</v>
      </c>
      <c r="M2" s="11" t="s">
        <v>22</v>
      </c>
      <c r="N2" s="18">
        <v>44425</v>
      </c>
      <c r="O2" s="19">
        <v>749.97</v>
      </c>
      <c r="P2" s="3">
        <f t="shared" ref="P2:P65" ca="1" si="0">DATEDIF(O2,TODAY(),"Y")</f>
        <v>124</v>
      </c>
      <c r="Q2" s="3" t="str">
        <f t="shared" ref="Q2:Q65" si="1">IF(O2&gt;2000,"High Value","Normal")</f>
        <v>Normal</v>
      </c>
      <c r="R2" s="3">
        <f t="shared" ref="R2:R65" si="2">COUNTIF(G:G,G2)</f>
        <v>26</v>
      </c>
      <c r="S2" s="20">
        <f>SUM(O2:O251)</f>
        <v>229192.47000000032</v>
      </c>
      <c r="T2" s="21" t="str">
        <f>LEFT(E2,1)&amp;MID(E2,FIND(" ",E2)+1,1)</f>
        <v>PB</v>
      </c>
    </row>
    <row r="3" spans="1:20" ht="31.5">
      <c r="A3" s="11" t="s">
        <v>23</v>
      </c>
      <c r="B3" s="18">
        <v>45396</v>
      </c>
      <c r="C3" s="18" t="str">
        <f t="shared" ref="C3:C66" si="3">TEXT(B3,"mmmm")</f>
        <v>April</v>
      </c>
      <c r="D3" s="11" t="s">
        <v>24</v>
      </c>
      <c r="E3" s="11" t="s">
        <v>25</v>
      </c>
      <c r="F3" s="11" t="s">
        <v>17</v>
      </c>
      <c r="G3" s="11" t="s">
        <v>18</v>
      </c>
      <c r="H3" s="11" t="s">
        <v>19</v>
      </c>
      <c r="I3" s="17">
        <v>0</v>
      </c>
      <c r="J3" s="17">
        <v>249.99</v>
      </c>
      <c r="K3" s="11" t="s">
        <v>26</v>
      </c>
      <c r="L3" s="11" t="s">
        <v>21</v>
      </c>
      <c r="M3" s="11" t="s">
        <v>27</v>
      </c>
      <c r="N3" s="18">
        <v>44575</v>
      </c>
      <c r="O3" s="19">
        <v>749.97</v>
      </c>
      <c r="P3" s="3">
        <f t="shared" ca="1" si="0"/>
        <v>124</v>
      </c>
      <c r="Q3" s="3" t="str">
        <f t="shared" si="1"/>
        <v>Normal</v>
      </c>
      <c r="R3" s="3">
        <f t="shared" si="2"/>
        <v>26</v>
      </c>
      <c r="S3" s="10" t="s">
        <v>442</v>
      </c>
      <c r="T3" s="21" t="str">
        <f t="shared" ref="T3:T66" si="4">LEFT(E3,1)&amp;MID(E3,FIND(" ",E3)+1,1)</f>
        <v>JJ</v>
      </c>
    </row>
    <row r="4" spans="1:20">
      <c r="A4" s="11" t="s">
        <v>28</v>
      </c>
      <c r="B4" s="18">
        <v>45399</v>
      </c>
      <c r="C4" s="18" t="str">
        <f t="shared" si="3"/>
        <v>April</v>
      </c>
      <c r="D4" s="11" t="s">
        <v>29</v>
      </c>
      <c r="E4" s="11" t="s">
        <v>30</v>
      </c>
      <c r="F4" s="11" t="s">
        <v>31</v>
      </c>
      <c r="G4" s="11" t="s">
        <v>32</v>
      </c>
      <c r="H4" s="11" t="s">
        <v>33</v>
      </c>
      <c r="I4" s="17">
        <v>30</v>
      </c>
      <c r="J4" s="17">
        <v>59.99</v>
      </c>
      <c r="K4" s="11" t="s">
        <v>34</v>
      </c>
      <c r="L4" s="11" t="s">
        <v>35</v>
      </c>
      <c r="M4" s="11" t="s">
        <v>36</v>
      </c>
      <c r="N4" s="18">
        <v>45262</v>
      </c>
      <c r="O4" s="19">
        <v>179.97</v>
      </c>
      <c r="P4" s="3">
        <f t="shared" ca="1" si="0"/>
        <v>125</v>
      </c>
      <c r="Q4" s="3" t="str">
        <f t="shared" si="1"/>
        <v>Normal</v>
      </c>
      <c r="R4" s="3">
        <f t="shared" si="2"/>
        <v>29</v>
      </c>
      <c r="S4" s="20">
        <f>AVERAGE(O2:O251)</f>
        <v>916.76988000000131</v>
      </c>
      <c r="T4" s="21" t="str">
        <f t="shared" si="4"/>
        <v>KS</v>
      </c>
    </row>
    <row r="5" spans="1:20" ht="31.5">
      <c r="A5" s="11" t="s">
        <v>37</v>
      </c>
      <c r="B5" s="18">
        <v>45400</v>
      </c>
      <c r="C5" s="18" t="str">
        <f t="shared" si="3"/>
        <v>April</v>
      </c>
      <c r="D5" s="11" t="s">
        <v>38</v>
      </c>
      <c r="E5" s="11" t="s">
        <v>39</v>
      </c>
      <c r="F5" s="11" t="s">
        <v>31</v>
      </c>
      <c r="G5" s="11" t="s">
        <v>32</v>
      </c>
      <c r="H5" s="11" t="s">
        <v>33</v>
      </c>
      <c r="I5" s="17">
        <v>3</v>
      </c>
      <c r="J5" s="17">
        <v>59.99</v>
      </c>
      <c r="K5" s="11" t="s">
        <v>20</v>
      </c>
      <c r="L5" s="11" t="s">
        <v>40</v>
      </c>
      <c r="M5" s="11" t="s">
        <v>27</v>
      </c>
      <c r="N5" s="18">
        <v>45114</v>
      </c>
      <c r="O5" s="19">
        <v>179.97</v>
      </c>
      <c r="P5" s="3">
        <f t="shared" ca="1" si="0"/>
        <v>125</v>
      </c>
      <c r="Q5" s="3" t="str">
        <f t="shared" si="1"/>
        <v>Normal</v>
      </c>
      <c r="R5" s="3">
        <f t="shared" si="2"/>
        <v>29</v>
      </c>
      <c r="S5" s="10" t="s">
        <v>443</v>
      </c>
      <c r="T5" s="21" t="str">
        <f t="shared" si="4"/>
        <v>KB</v>
      </c>
    </row>
    <row r="6" spans="1:20" ht="31.5">
      <c r="A6" s="11" t="s">
        <v>41</v>
      </c>
      <c r="B6" s="18">
        <v>45400</v>
      </c>
      <c r="C6" s="18" t="str">
        <f t="shared" si="3"/>
        <v>April</v>
      </c>
      <c r="D6" s="11" t="s">
        <v>42</v>
      </c>
      <c r="E6" s="11" t="s">
        <v>43</v>
      </c>
      <c r="F6" s="11" t="s">
        <v>44</v>
      </c>
      <c r="G6" s="11" t="s">
        <v>45</v>
      </c>
      <c r="H6" s="11" t="s">
        <v>46</v>
      </c>
      <c r="I6" s="17">
        <v>5</v>
      </c>
      <c r="J6" s="17">
        <v>149.99</v>
      </c>
      <c r="K6" s="11" t="s">
        <v>26</v>
      </c>
      <c r="L6" s="11" t="s">
        <v>40</v>
      </c>
      <c r="M6" s="11" t="s">
        <v>27</v>
      </c>
      <c r="N6" s="18">
        <v>45295</v>
      </c>
      <c r="O6" s="19">
        <v>749.95</v>
      </c>
      <c r="P6" s="3">
        <f t="shared" ca="1" si="0"/>
        <v>124</v>
      </c>
      <c r="Q6" s="3" t="str">
        <f t="shared" si="1"/>
        <v>Normal</v>
      </c>
      <c r="R6" s="3">
        <f t="shared" si="2"/>
        <v>35</v>
      </c>
      <c r="S6" s="3">
        <f>COUNTA(A:A)-1</f>
        <v>250</v>
      </c>
      <c r="T6" s="21" t="str">
        <f t="shared" si="4"/>
        <v>MB</v>
      </c>
    </row>
    <row r="7" spans="1:20" ht="31.5">
      <c r="A7" s="11" t="s">
        <v>47</v>
      </c>
      <c r="B7" s="18">
        <v>45403</v>
      </c>
      <c r="C7" s="18" t="str">
        <f t="shared" si="3"/>
        <v>April</v>
      </c>
      <c r="D7" s="11" t="s">
        <v>48</v>
      </c>
      <c r="E7" s="11" t="s">
        <v>49</v>
      </c>
      <c r="F7" s="11" t="s">
        <v>31</v>
      </c>
      <c r="G7" s="11" t="s">
        <v>32</v>
      </c>
      <c r="H7" s="11" t="s">
        <v>33</v>
      </c>
      <c r="I7" s="17">
        <v>2</v>
      </c>
      <c r="J7" s="17">
        <v>59.99</v>
      </c>
      <c r="K7" s="11" t="s">
        <v>20</v>
      </c>
      <c r="L7" s="11" t="s">
        <v>50</v>
      </c>
      <c r="M7" s="11" t="s">
        <v>36</v>
      </c>
      <c r="N7" s="18">
        <v>44746</v>
      </c>
      <c r="O7" s="19">
        <v>119.98</v>
      </c>
      <c r="P7" s="3">
        <f t="shared" ca="1" si="0"/>
        <v>126</v>
      </c>
      <c r="Q7" s="3" t="str">
        <f t="shared" si="1"/>
        <v>Normal</v>
      </c>
      <c r="R7" s="3">
        <f t="shared" si="2"/>
        <v>29</v>
      </c>
      <c r="T7" s="21" t="str">
        <f t="shared" si="4"/>
        <v>DN</v>
      </c>
    </row>
    <row r="8" spans="1:20" ht="31.5">
      <c r="A8" s="11" t="s">
        <v>51</v>
      </c>
      <c r="B8" s="18">
        <v>45403</v>
      </c>
      <c r="C8" s="18" t="str">
        <f t="shared" si="3"/>
        <v>April</v>
      </c>
      <c r="D8" s="11" t="s">
        <v>48</v>
      </c>
      <c r="E8" s="11" t="s">
        <v>49</v>
      </c>
      <c r="F8" s="11" t="s">
        <v>52</v>
      </c>
      <c r="G8" s="11" t="s">
        <v>53</v>
      </c>
      <c r="H8" s="11" t="s">
        <v>19</v>
      </c>
      <c r="I8" s="17">
        <v>0</v>
      </c>
      <c r="J8" s="17">
        <v>149.99</v>
      </c>
      <c r="K8" s="11" t="s">
        <v>26</v>
      </c>
      <c r="L8" s="11" t="s">
        <v>21</v>
      </c>
      <c r="M8" s="11" t="s">
        <v>36</v>
      </c>
      <c r="N8" s="18">
        <v>44418</v>
      </c>
      <c r="O8" s="19">
        <v>749.95</v>
      </c>
      <c r="P8" s="3">
        <f t="shared" ca="1" si="0"/>
        <v>124</v>
      </c>
      <c r="Q8" s="3" t="str">
        <f t="shared" si="1"/>
        <v>Normal</v>
      </c>
      <c r="R8" s="3">
        <f t="shared" si="2"/>
        <v>16</v>
      </c>
      <c r="T8" s="21" t="str">
        <f t="shared" si="4"/>
        <v>DN</v>
      </c>
    </row>
    <row r="9" spans="1:20">
      <c r="A9" s="11" t="s">
        <v>54</v>
      </c>
      <c r="B9" s="18">
        <v>45403</v>
      </c>
      <c r="C9" s="18" t="str">
        <f t="shared" si="3"/>
        <v>April</v>
      </c>
      <c r="D9" s="11" t="s">
        <v>55</v>
      </c>
      <c r="E9" s="11" t="s">
        <v>56</v>
      </c>
      <c r="F9" s="11" t="s">
        <v>31</v>
      </c>
      <c r="G9" s="11" t="s">
        <v>32</v>
      </c>
      <c r="H9" s="11" t="s">
        <v>33</v>
      </c>
      <c r="I9" s="17">
        <v>3</v>
      </c>
      <c r="J9" s="17">
        <v>59.99</v>
      </c>
      <c r="K9" s="11" t="s">
        <v>57</v>
      </c>
      <c r="L9" s="11" t="s">
        <v>35</v>
      </c>
      <c r="M9" s="11" t="s">
        <v>22</v>
      </c>
      <c r="N9" s="18">
        <v>45007</v>
      </c>
      <c r="O9" s="19">
        <v>179.97</v>
      </c>
      <c r="P9" s="3">
        <f t="shared" ca="1" si="0"/>
        <v>125</v>
      </c>
      <c r="Q9" s="3" t="str">
        <f t="shared" si="1"/>
        <v>Normal</v>
      </c>
      <c r="R9" s="3">
        <f t="shared" si="2"/>
        <v>29</v>
      </c>
      <c r="T9" s="21" t="str">
        <f t="shared" si="4"/>
        <v>CA</v>
      </c>
    </row>
    <row r="10" spans="1:20" ht="31.5">
      <c r="A10" s="11" t="s">
        <v>58</v>
      </c>
      <c r="B10" s="18">
        <v>45405</v>
      </c>
      <c r="C10" s="18" t="str">
        <f t="shared" si="3"/>
        <v>April</v>
      </c>
      <c r="D10" s="11" t="s">
        <v>59</v>
      </c>
      <c r="E10" s="11" t="s">
        <v>60</v>
      </c>
      <c r="F10" s="11" t="s">
        <v>61</v>
      </c>
      <c r="G10" s="11" t="s">
        <v>62</v>
      </c>
      <c r="H10" s="11" t="s">
        <v>19</v>
      </c>
      <c r="I10" s="17">
        <v>3</v>
      </c>
      <c r="J10" s="17">
        <v>899.99</v>
      </c>
      <c r="K10" s="11" t="s">
        <v>34</v>
      </c>
      <c r="L10" s="11" t="s">
        <v>63</v>
      </c>
      <c r="M10" s="11" t="s">
        <v>36</v>
      </c>
      <c r="N10" s="18">
        <v>45299</v>
      </c>
      <c r="O10" s="19">
        <v>2699.97</v>
      </c>
      <c r="P10" s="3">
        <f t="shared" ca="1" si="0"/>
        <v>118</v>
      </c>
      <c r="Q10" s="3" t="str">
        <f t="shared" si="1"/>
        <v>High Value</v>
      </c>
      <c r="R10" s="3">
        <f t="shared" si="2"/>
        <v>24</v>
      </c>
      <c r="T10" s="21" t="str">
        <f t="shared" si="4"/>
        <v>RT</v>
      </c>
    </row>
    <row r="11" spans="1:20">
      <c r="A11" s="11" t="s">
        <v>64</v>
      </c>
      <c r="B11" s="18">
        <v>45408</v>
      </c>
      <c r="C11" s="18" t="str">
        <f t="shared" si="3"/>
        <v>April</v>
      </c>
      <c r="D11" s="11" t="s">
        <v>65</v>
      </c>
      <c r="E11" s="11" t="s">
        <v>66</v>
      </c>
      <c r="F11" s="11" t="s">
        <v>31</v>
      </c>
      <c r="G11" s="11" t="s">
        <v>32</v>
      </c>
      <c r="H11" s="11" t="s">
        <v>33</v>
      </c>
      <c r="I11" s="17">
        <v>3</v>
      </c>
      <c r="J11" s="17">
        <v>59.99</v>
      </c>
      <c r="K11" s="11" t="s">
        <v>20</v>
      </c>
      <c r="L11" s="11" t="s">
        <v>50</v>
      </c>
      <c r="M11" s="11" t="s">
        <v>27</v>
      </c>
      <c r="N11" s="18">
        <v>45207</v>
      </c>
      <c r="O11" s="19">
        <v>179.97</v>
      </c>
      <c r="P11" s="3">
        <f t="shared" ca="1" si="0"/>
        <v>125</v>
      </c>
      <c r="Q11" s="3" t="str">
        <f t="shared" si="1"/>
        <v>Normal</v>
      </c>
      <c r="R11" s="3">
        <f t="shared" si="2"/>
        <v>29</v>
      </c>
      <c r="T11" s="21" t="str">
        <f t="shared" si="4"/>
        <v>KH</v>
      </c>
    </row>
    <row r="12" spans="1:20">
      <c r="A12" s="11" t="s">
        <v>67</v>
      </c>
      <c r="B12" s="18">
        <v>45408</v>
      </c>
      <c r="C12" s="18" t="str">
        <f t="shared" si="3"/>
        <v>April</v>
      </c>
      <c r="D12" s="11" t="s">
        <v>68</v>
      </c>
      <c r="E12" s="11" t="s">
        <v>69</v>
      </c>
      <c r="F12" s="11" t="s">
        <v>44</v>
      </c>
      <c r="G12" s="11" t="s">
        <v>45</v>
      </c>
      <c r="H12" s="11" t="s">
        <v>46</v>
      </c>
      <c r="I12" s="17">
        <v>1</v>
      </c>
      <c r="J12" s="17">
        <v>149.99</v>
      </c>
      <c r="K12" s="11" t="s">
        <v>26</v>
      </c>
      <c r="L12" s="11" t="s">
        <v>50</v>
      </c>
      <c r="M12" s="11" t="s">
        <v>36</v>
      </c>
      <c r="N12" s="18">
        <v>45103</v>
      </c>
      <c r="O12" s="19">
        <v>149.99</v>
      </c>
      <c r="P12" s="3">
        <f t="shared" ca="1" si="0"/>
        <v>125</v>
      </c>
      <c r="Q12" s="3" t="str">
        <f t="shared" si="1"/>
        <v>Normal</v>
      </c>
      <c r="R12" s="3">
        <f t="shared" si="2"/>
        <v>35</v>
      </c>
      <c r="T12" s="21" t="str">
        <f t="shared" si="4"/>
        <v>SG</v>
      </c>
    </row>
    <row r="13" spans="1:20" ht="31.5">
      <c r="A13" s="11" t="s">
        <v>70</v>
      </c>
      <c r="B13" s="18">
        <v>45408</v>
      </c>
      <c r="C13" s="18" t="str">
        <f t="shared" si="3"/>
        <v>April</v>
      </c>
      <c r="D13" s="11" t="s">
        <v>38</v>
      </c>
      <c r="E13" s="11" t="s">
        <v>39</v>
      </c>
      <c r="F13" s="11" t="s">
        <v>44</v>
      </c>
      <c r="G13" s="11" t="s">
        <v>45</v>
      </c>
      <c r="H13" s="11" t="s">
        <v>46</v>
      </c>
      <c r="I13" s="17">
        <v>5</v>
      </c>
      <c r="J13" s="17">
        <v>149.99</v>
      </c>
      <c r="K13" s="11" t="s">
        <v>57</v>
      </c>
      <c r="L13" s="11" t="s">
        <v>40</v>
      </c>
      <c r="M13" s="11" t="s">
        <v>22</v>
      </c>
      <c r="N13" s="18">
        <v>44830</v>
      </c>
      <c r="O13" s="19">
        <v>749.95</v>
      </c>
      <c r="P13" s="3">
        <f t="shared" ca="1" si="0"/>
        <v>124</v>
      </c>
      <c r="Q13" s="3" t="str">
        <f t="shared" si="1"/>
        <v>Normal</v>
      </c>
      <c r="R13" s="3">
        <f t="shared" si="2"/>
        <v>35</v>
      </c>
      <c r="T13" s="21" t="str">
        <f t="shared" si="4"/>
        <v>KB</v>
      </c>
    </row>
    <row r="14" spans="1:20" ht="31.5">
      <c r="A14" s="11" t="s">
        <v>71</v>
      </c>
      <c r="B14" s="18">
        <v>45408</v>
      </c>
      <c r="C14" s="18" t="str">
        <f t="shared" si="3"/>
        <v>April</v>
      </c>
      <c r="D14" s="11" t="s">
        <v>72</v>
      </c>
      <c r="E14" s="11" t="s">
        <v>73</v>
      </c>
      <c r="F14" s="11" t="s">
        <v>44</v>
      </c>
      <c r="G14" s="11" t="s">
        <v>45</v>
      </c>
      <c r="H14" s="11" t="s">
        <v>46</v>
      </c>
      <c r="I14" s="17">
        <v>3</v>
      </c>
      <c r="J14" s="17">
        <v>149.99</v>
      </c>
      <c r="K14" s="11" t="s">
        <v>20</v>
      </c>
      <c r="L14" s="11" t="s">
        <v>40</v>
      </c>
      <c r="M14" s="11" t="s">
        <v>27</v>
      </c>
      <c r="N14" s="18">
        <v>44806</v>
      </c>
      <c r="O14" s="19">
        <v>449.97</v>
      </c>
      <c r="P14" s="3">
        <f t="shared" ca="1" si="0"/>
        <v>125</v>
      </c>
      <c r="Q14" s="3" t="str">
        <f t="shared" si="1"/>
        <v>Normal</v>
      </c>
      <c r="R14" s="3">
        <f t="shared" si="2"/>
        <v>35</v>
      </c>
      <c r="T14" s="21" t="str">
        <f t="shared" si="4"/>
        <v>PR</v>
      </c>
    </row>
    <row r="15" spans="1:20">
      <c r="A15" s="11" t="s">
        <v>74</v>
      </c>
      <c r="B15" s="18">
        <v>45409</v>
      </c>
      <c r="C15" s="18" t="str">
        <f t="shared" si="3"/>
        <v>April</v>
      </c>
      <c r="D15" s="11" t="s">
        <v>75</v>
      </c>
      <c r="E15" s="11" t="s">
        <v>76</v>
      </c>
      <c r="F15" s="11" t="s">
        <v>31</v>
      </c>
      <c r="G15" s="11" t="s">
        <v>32</v>
      </c>
      <c r="H15" s="11" t="s">
        <v>33</v>
      </c>
      <c r="I15" s="17">
        <v>3</v>
      </c>
      <c r="J15" s="17">
        <v>59.99</v>
      </c>
      <c r="K15" s="11" t="s">
        <v>26</v>
      </c>
      <c r="L15" s="11" t="s">
        <v>40</v>
      </c>
      <c r="M15" s="11" t="s">
        <v>36</v>
      </c>
      <c r="N15" s="18">
        <v>45351</v>
      </c>
      <c r="O15" s="19">
        <v>179.97</v>
      </c>
      <c r="P15" s="3">
        <f t="shared" ca="1" si="0"/>
        <v>125</v>
      </c>
      <c r="Q15" s="3" t="str">
        <f t="shared" si="1"/>
        <v>Normal</v>
      </c>
      <c r="R15" s="3">
        <f t="shared" si="2"/>
        <v>29</v>
      </c>
      <c r="T15" s="21" t="str">
        <f t="shared" si="4"/>
        <v>DG</v>
      </c>
    </row>
    <row r="16" spans="1:20" ht="31.5">
      <c r="A16" s="11" t="s">
        <v>77</v>
      </c>
      <c r="B16" s="18">
        <v>45409</v>
      </c>
      <c r="C16" s="18" t="str">
        <f t="shared" si="3"/>
        <v>April</v>
      </c>
      <c r="D16" s="11" t="s">
        <v>78</v>
      </c>
      <c r="E16" s="11" t="s">
        <v>79</v>
      </c>
      <c r="F16" s="11" t="s">
        <v>80</v>
      </c>
      <c r="G16" s="11" t="s">
        <v>81</v>
      </c>
      <c r="H16" s="11" t="s">
        <v>19</v>
      </c>
      <c r="I16" s="17">
        <v>3</v>
      </c>
      <c r="J16" s="17">
        <v>699.99</v>
      </c>
      <c r="K16" s="11" t="s">
        <v>26</v>
      </c>
      <c r="L16" s="11" t="s">
        <v>50</v>
      </c>
      <c r="M16" s="11" t="s">
        <v>22</v>
      </c>
      <c r="N16" s="18">
        <v>44577</v>
      </c>
      <c r="O16" s="19">
        <v>2099.9699999999998</v>
      </c>
      <c r="P16" s="3">
        <f t="shared" ca="1" si="0"/>
        <v>120</v>
      </c>
      <c r="Q16" s="3" t="str">
        <f t="shared" si="1"/>
        <v>High Value</v>
      </c>
      <c r="R16" s="3">
        <f t="shared" si="2"/>
        <v>31</v>
      </c>
      <c r="T16" s="21" t="str">
        <f t="shared" si="4"/>
        <v>MR</v>
      </c>
    </row>
    <row r="17" spans="1:20" ht="31.5">
      <c r="A17" s="11" t="s">
        <v>82</v>
      </c>
      <c r="B17" s="18">
        <v>45409</v>
      </c>
      <c r="C17" s="18" t="str">
        <f t="shared" si="3"/>
        <v>April</v>
      </c>
      <c r="D17" s="11" t="s">
        <v>83</v>
      </c>
      <c r="E17" s="11" t="s">
        <v>84</v>
      </c>
      <c r="F17" s="11" t="s">
        <v>61</v>
      </c>
      <c r="G17" s="11" t="s">
        <v>62</v>
      </c>
      <c r="H17" s="11" t="s">
        <v>19</v>
      </c>
      <c r="I17" s="17">
        <v>1</v>
      </c>
      <c r="J17" s="17">
        <v>899.99</v>
      </c>
      <c r="K17" s="11" t="s">
        <v>57</v>
      </c>
      <c r="L17" s="11" t="s">
        <v>40</v>
      </c>
      <c r="M17" s="11" t="s">
        <v>36</v>
      </c>
      <c r="N17" s="18">
        <v>44920</v>
      </c>
      <c r="O17" s="19">
        <v>899.99</v>
      </c>
      <c r="P17" s="3">
        <f t="shared" ca="1" si="0"/>
        <v>123</v>
      </c>
      <c r="Q17" s="3" t="str">
        <f t="shared" si="1"/>
        <v>Normal</v>
      </c>
      <c r="R17" s="3">
        <f t="shared" si="2"/>
        <v>24</v>
      </c>
      <c r="T17" s="21" t="str">
        <f t="shared" si="4"/>
        <v>GA</v>
      </c>
    </row>
    <row r="18" spans="1:20">
      <c r="A18" s="11" t="s">
        <v>85</v>
      </c>
      <c r="B18" s="18">
        <v>45410</v>
      </c>
      <c r="C18" s="18" t="str">
        <f t="shared" si="3"/>
        <v>April</v>
      </c>
      <c r="D18" s="11" t="s">
        <v>86</v>
      </c>
      <c r="E18" s="11" t="s">
        <v>87</v>
      </c>
      <c r="F18" s="11" t="s">
        <v>44</v>
      </c>
      <c r="G18" s="11" t="s">
        <v>45</v>
      </c>
      <c r="H18" s="11" t="s">
        <v>46</v>
      </c>
      <c r="I18" s="17">
        <v>4</v>
      </c>
      <c r="J18" s="17">
        <v>149.99</v>
      </c>
      <c r="K18" s="11" t="s">
        <v>57</v>
      </c>
      <c r="L18" s="11" t="s">
        <v>40</v>
      </c>
      <c r="M18" s="11" t="s">
        <v>27</v>
      </c>
      <c r="N18" s="18">
        <v>45374</v>
      </c>
      <c r="O18" s="19">
        <v>599.96</v>
      </c>
      <c r="P18" s="3">
        <f t="shared" ca="1" si="0"/>
        <v>124</v>
      </c>
      <c r="Q18" s="3" t="str">
        <f t="shared" si="1"/>
        <v>Normal</v>
      </c>
      <c r="R18" s="3">
        <f t="shared" si="2"/>
        <v>35</v>
      </c>
      <c r="T18" s="21" t="str">
        <f t="shared" si="4"/>
        <v>MC</v>
      </c>
    </row>
    <row r="19" spans="1:20">
      <c r="A19" s="11" t="s">
        <v>88</v>
      </c>
      <c r="B19" s="18">
        <v>45410</v>
      </c>
      <c r="C19" s="18" t="str">
        <f t="shared" si="3"/>
        <v>April</v>
      </c>
      <c r="D19" s="11" t="s">
        <v>89</v>
      </c>
      <c r="E19" s="11" t="s">
        <v>90</v>
      </c>
      <c r="F19" s="11" t="s">
        <v>80</v>
      </c>
      <c r="G19" s="11" t="s">
        <v>81</v>
      </c>
      <c r="H19" s="11" t="s">
        <v>19</v>
      </c>
      <c r="I19" s="17">
        <v>2</v>
      </c>
      <c r="J19" s="17">
        <v>699.99</v>
      </c>
      <c r="K19" s="11" t="s">
        <v>20</v>
      </c>
      <c r="L19" s="11" t="s">
        <v>40</v>
      </c>
      <c r="M19" s="11" t="s">
        <v>22</v>
      </c>
      <c r="N19" s="18">
        <v>44781</v>
      </c>
      <c r="O19" s="19">
        <v>1399.98</v>
      </c>
      <c r="P19" s="3">
        <f t="shared" ca="1" si="0"/>
        <v>122</v>
      </c>
      <c r="Q19" s="3" t="str">
        <f t="shared" si="1"/>
        <v>Normal</v>
      </c>
      <c r="R19" s="3">
        <f t="shared" si="2"/>
        <v>31</v>
      </c>
      <c r="T19" s="21" t="str">
        <f t="shared" si="4"/>
        <v>MG</v>
      </c>
    </row>
    <row r="20" spans="1:20">
      <c r="A20" s="11" t="s">
        <v>91</v>
      </c>
      <c r="B20" s="18">
        <v>45410</v>
      </c>
      <c r="C20" s="18" t="str">
        <f t="shared" si="3"/>
        <v>April</v>
      </c>
      <c r="D20" s="11" t="s">
        <v>86</v>
      </c>
      <c r="E20" s="11" t="s">
        <v>87</v>
      </c>
      <c r="F20" s="11" t="s">
        <v>61</v>
      </c>
      <c r="G20" s="11" t="s">
        <v>62</v>
      </c>
      <c r="H20" s="11" t="s">
        <v>19</v>
      </c>
      <c r="I20" s="17">
        <v>4</v>
      </c>
      <c r="J20" s="17">
        <v>899.99</v>
      </c>
      <c r="K20" s="11" t="s">
        <v>26</v>
      </c>
      <c r="L20" s="11" t="s">
        <v>50</v>
      </c>
      <c r="M20" s="11" t="s">
        <v>36</v>
      </c>
      <c r="N20" s="18">
        <v>45327</v>
      </c>
      <c r="O20" s="19">
        <v>3599.96</v>
      </c>
      <c r="P20" s="3">
        <f t="shared" ca="1" si="0"/>
        <v>116</v>
      </c>
      <c r="Q20" s="3" t="str">
        <f t="shared" si="1"/>
        <v>High Value</v>
      </c>
      <c r="R20" s="3">
        <f t="shared" si="2"/>
        <v>24</v>
      </c>
      <c r="T20" s="21" t="str">
        <f t="shared" si="4"/>
        <v>MC</v>
      </c>
    </row>
    <row r="21" spans="1:20" ht="31.5">
      <c r="A21" s="11" t="s">
        <v>92</v>
      </c>
      <c r="B21" s="18">
        <v>45410</v>
      </c>
      <c r="C21" s="18" t="str">
        <f t="shared" si="3"/>
        <v>April</v>
      </c>
      <c r="D21" s="11" t="s">
        <v>93</v>
      </c>
      <c r="E21" s="11" t="s">
        <v>94</v>
      </c>
      <c r="F21" s="11" t="s">
        <v>17</v>
      </c>
      <c r="G21" s="11" t="s">
        <v>18</v>
      </c>
      <c r="H21" s="11" t="s">
        <v>19</v>
      </c>
      <c r="I21" s="17">
        <v>3</v>
      </c>
      <c r="J21" s="17">
        <v>249.99</v>
      </c>
      <c r="K21" s="11" t="s">
        <v>26</v>
      </c>
      <c r="L21" s="11" t="s">
        <v>40</v>
      </c>
      <c r="M21" s="11" t="s">
        <v>27</v>
      </c>
      <c r="N21" s="18">
        <v>45224</v>
      </c>
      <c r="O21" s="19">
        <v>749.97</v>
      </c>
      <c r="P21" s="3">
        <f t="shared" ca="1" si="0"/>
        <v>124</v>
      </c>
      <c r="Q21" s="3" t="str">
        <f t="shared" si="1"/>
        <v>Normal</v>
      </c>
      <c r="R21" s="3">
        <f t="shared" si="2"/>
        <v>26</v>
      </c>
      <c r="T21" s="21" t="str">
        <f t="shared" si="4"/>
        <v>VS</v>
      </c>
    </row>
    <row r="22" spans="1:20">
      <c r="A22" s="11" t="s">
        <v>95</v>
      </c>
      <c r="B22" s="18">
        <v>45412</v>
      </c>
      <c r="C22" s="18" t="str">
        <f t="shared" si="3"/>
        <v>April</v>
      </c>
      <c r="D22" s="11" t="s">
        <v>96</v>
      </c>
      <c r="E22" s="11" t="s">
        <v>97</v>
      </c>
      <c r="F22" s="11" t="s">
        <v>80</v>
      </c>
      <c r="G22" s="11" t="s">
        <v>81</v>
      </c>
      <c r="H22" s="11" t="s">
        <v>19</v>
      </c>
      <c r="I22" s="17">
        <v>5</v>
      </c>
      <c r="J22" s="17">
        <v>699.99</v>
      </c>
      <c r="K22" s="11" t="s">
        <v>20</v>
      </c>
      <c r="L22" s="11" t="s">
        <v>50</v>
      </c>
      <c r="M22" s="11" t="s">
        <v>22</v>
      </c>
      <c r="N22" s="18">
        <v>45167</v>
      </c>
      <c r="O22" s="19">
        <v>3499.95</v>
      </c>
      <c r="P22" s="3">
        <f t="shared" ca="1" si="0"/>
        <v>116</v>
      </c>
      <c r="Q22" s="3" t="str">
        <f t="shared" si="1"/>
        <v>High Value</v>
      </c>
      <c r="R22" s="3">
        <f t="shared" si="2"/>
        <v>31</v>
      </c>
      <c r="T22" s="21" t="str">
        <f t="shared" si="4"/>
        <v>BY</v>
      </c>
    </row>
    <row r="23" spans="1:20" ht="31.5">
      <c r="A23" s="11" t="s">
        <v>98</v>
      </c>
      <c r="B23" s="18">
        <v>45413</v>
      </c>
      <c r="C23" s="18" t="str">
        <f t="shared" si="3"/>
        <v>May</v>
      </c>
      <c r="D23" s="11" t="s">
        <v>99</v>
      </c>
      <c r="E23" s="11" t="s">
        <v>100</v>
      </c>
      <c r="F23" s="11" t="s">
        <v>80</v>
      </c>
      <c r="G23" s="11" t="s">
        <v>81</v>
      </c>
      <c r="H23" s="11" t="s">
        <v>19</v>
      </c>
      <c r="I23" s="17">
        <v>4</v>
      </c>
      <c r="J23" s="17">
        <v>699.99</v>
      </c>
      <c r="K23" s="11" t="s">
        <v>20</v>
      </c>
      <c r="L23" s="11" t="s">
        <v>63</v>
      </c>
      <c r="M23" s="11" t="s">
        <v>36</v>
      </c>
      <c r="N23" s="18">
        <v>44409</v>
      </c>
      <c r="O23" s="19">
        <v>2799.96</v>
      </c>
      <c r="P23" s="3">
        <f t="shared" ca="1" si="0"/>
        <v>118</v>
      </c>
      <c r="Q23" s="3" t="str">
        <f t="shared" si="1"/>
        <v>High Value</v>
      </c>
      <c r="R23" s="3">
        <f t="shared" si="2"/>
        <v>31</v>
      </c>
      <c r="T23" s="21" t="str">
        <f t="shared" si="4"/>
        <v>PM</v>
      </c>
    </row>
    <row r="24" spans="1:20">
      <c r="A24" s="11" t="s">
        <v>101</v>
      </c>
      <c r="B24" s="18">
        <v>45415</v>
      </c>
      <c r="C24" s="18" t="str">
        <f t="shared" si="3"/>
        <v>May</v>
      </c>
      <c r="D24" s="11" t="s">
        <v>102</v>
      </c>
      <c r="E24" s="11" t="s">
        <v>103</v>
      </c>
      <c r="F24" s="11" t="s">
        <v>17</v>
      </c>
      <c r="G24" s="11" t="s">
        <v>18</v>
      </c>
      <c r="H24" s="11" t="s">
        <v>19</v>
      </c>
      <c r="I24" s="17">
        <v>4</v>
      </c>
      <c r="J24" s="17">
        <v>249.99</v>
      </c>
      <c r="K24" s="11" t="s">
        <v>34</v>
      </c>
      <c r="L24" s="11" t="s">
        <v>40</v>
      </c>
      <c r="M24" s="11" t="s">
        <v>36</v>
      </c>
      <c r="N24" s="18">
        <v>44468</v>
      </c>
      <c r="O24" s="19">
        <v>999.96</v>
      </c>
      <c r="P24" s="3">
        <f t="shared" ca="1" si="0"/>
        <v>123</v>
      </c>
      <c r="Q24" s="3" t="str">
        <f t="shared" si="1"/>
        <v>Normal</v>
      </c>
      <c r="R24" s="3">
        <f t="shared" si="2"/>
        <v>26</v>
      </c>
      <c r="T24" s="21" t="str">
        <f t="shared" si="4"/>
        <v>CP</v>
      </c>
    </row>
    <row r="25" spans="1:20">
      <c r="A25" s="11" t="s">
        <v>104</v>
      </c>
      <c r="B25" s="18">
        <v>45416</v>
      </c>
      <c r="C25" s="18" t="str">
        <f t="shared" si="3"/>
        <v>May</v>
      </c>
      <c r="D25" s="11" t="s">
        <v>86</v>
      </c>
      <c r="E25" s="11" t="s">
        <v>87</v>
      </c>
      <c r="F25" s="11" t="s">
        <v>105</v>
      </c>
      <c r="G25" s="11" t="s">
        <v>106</v>
      </c>
      <c r="H25" s="11" t="s">
        <v>46</v>
      </c>
      <c r="I25" s="17">
        <v>4</v>
      </c>
      <c r="J25" s="17">
        <v>299.99</v>
      </c>
      <c r="K25" s="11" t="s">
        <v>20</v>
      </c>
      <c r="L25" s="11" t="s">
        <v>50</v>
      </c>
      <c r="M25" s="11" t="s">
        <v>27</v>
      </c>
      <c r="N25" s="18">
        <v>44716</v>
      </c>
      <c r="O25" s="19">
        <v>1199.96</v>
      </c>
      <c r="P25" s="3">
        <f t="shared" ca="1" si="0"/>
        <v>123</v>
      </c>
      <c r="Q25" s="3" t="str">
        <f t="shared" si="1"/>
        <v>Normal</v>
      </c>
      <c r="R25" s="3">
        <f t="shared" si="2"/>
        <v>26</v>
      </c>
      <c r="T25" s="21" t="str">
        <f t="shared" si="4"/>
        <v>MC</v>
      </c>
    </row>
    <row r="26" spans="1:20">
      <c r="A26" s="11" t="s">
        <v>107</v>
      </c>
      <c r="B26" s="18">
        <v>45422</v>
      </c>
      <c r="C26" s="18" t="str">
        <f t="shared" si="3"/>
        <v>May</v>
      </c>
      <c r="D26" s="11" t="s">
        <v>108</v>
      </c>
      <c r="E26" s="11" t="s">
        <v>109</v>
      </c>
      <c r="F26" s="11" t="s">
        <v>17</v>
      </c>
      <c r="G26" s="11" t="s">
        <v>18</v>
      </c>
      <c r="H26" s="11" t="s">
        <v>19</v>
      </c>
      <c r="I26" s="17">
        <v>0</v>
      </c>
      <c r="J26" s="17">
        <v>249.99</v>
      </c>
      <c r="K26" s="11" t="s">
        <v>26</v>
      </c>
      <c r="L26" s="11" t="s">
        <v>50</v>
      </c>
      <c r="M26" s="11" t="s">
        <v>36</v>
      </c>
      <c r="N26" s="18">
        <v>44525</v>
      </c>
      <c r="O26" s="19">
        <v>1249.95</v>
      </c>
      <c r="P26" s="3">
        <f t="shared" ca="1" si="0"/>
        <v>122</v>
      </c>
      <c r="Q26" s="3" t="str">
        <f t="shared" si="1"/>
        <v>Normal</v>
      </c>
      <c r="R26" s="3">
        <f t="shared" si="2"/>
        <v>26</v>
      </c>
      <c r="T26" s="21" t="str">
        <f t="shared" si="4"/>
        <v>NC</v>
      </c>
    </row>
    <row r="27" spans="1:20">
      <c r="A27" s="11" t="s">
        <v>110</v>
      </c>
      <c r="B27" s="18">
        <v>45424</v>
      </c>
      <c r="C27" s="18" t="str">
        <f t="shared" si="3"/>
        <v>May</v>
      </c>
      <c r="D27" s="11" t="s">
        <v>68</v>
      </c>
      <c r="E27" s="11" t="s">
        <v>69</v>
      </c>
      <c r="F27" s="11" t="s">
        <v>105</v>
      </c>
      <c r="G27" s="11" t="s">
        <v>106</v>
      </c>
      <c r="H27" s="11" t="s">
        <v>46</v>
      </c>
      <c r="I27" s="17">
        <v>5</v>
      </c>
      <c r="J27" s="17">
        <v>299.99</v>
      </c>
      <c r="K27" s="11" t="s">
        <v>34</v>
      </c>
      <c r="L27" s="11" t="s">
        <v>63</v>
      </c>
      <c r="M27" s="11" t="s">
        <v>22</v>
      </c>
      <c r="N27" s="18">
        <v>45168</v>
      </c>
      <c r="O27" s="19">
        <v>1499.95</v>
      </c>
      <c r="P27" s="3">
        <f t="shared" ca="1" si="0"/>
        <v>122</v>
      </c>
      <c r="Q27" s="3" t="str">
        <f t="shared" si="1"/>
        <v>Normal</v>
      </c>
      <c r="R27" s="3">
        <f t="shared" si="2"/>
        <v>26</v>
      </c>
      <c r="T27" s="21" t="str">
        <f t="shared" si="4"/>
        <v>SG</v>
      </c>
    </row>
    <row r="28" spans="1:20">
      <c r="A28" s="11" t="s">
        <v>111</v>
      </c>
      <c r="B28" s="18">
        <v>45424</v>
      </c>
      <c r="C28" s="18" t="str">
        <f t="shared" si="3"/>
        <v>May</v>
      </c>
      <c r="D28" s="11" t="s">
        <v>112</v>
      </c>
      <c r="E28" s="11" t="s">
        <v>113</v>
      </c>
      <c r="F28" s="11" t="s">
        <v>114</v>
      </c>
      <c r="G28" s="11" t="s">
        <v>115</v>
      </c>
      <c r="H28" s="11" t="s">
        <v>33</v>
      </c>
      <c r="I28" s="17">
        <v>3</v>
      </c>
      <c r="J28" s="17">
        <v>79.989999999999995</v>
      </c>
      <c r="K28" s="11" t="s">
        <v>34</v>
      </c>
      <c r="L28" s="11" t="s">
        <v>63</v>
      </c>
      <c r="M28" s="11" t="s">
        <v>27</v>
      </c>
      <c r="N28" s="18">
        <v>45012</v>
      </c>
      <c r="O28" s="19">
        <v>239.97</v>
      </c>
      <c r="P28" s="3">
        <f t="shared" ca="1" si="0"/>
        <v>125</v>
      </c>
      <c r="Q28" s="3" t="str">
        <f t="shared" si="1"/>
        <v>Normal</v>
      </c>
      <c r="R28" s="3">
        <f t="shared" si="2"/>
        <v>14</v>
      </c>
      <c r="T28" s="21" t="str">
        <f t="shared" si="4"/>
        <v>LM</v>
      </c>
    </row>
    <row r="29" spans="1:20" ht="31.5">
      <c r="A29" s="11" t="s">
        <v>116</v>
      </c>
      <c r="B29" s="18">
        <v>45424</v>
      </c>
      <c r="C29" s="18" t="str">
        <f t="shared" si="3"/>
        <v>May</v>
      </c>
      <c r="D29" s="11" t="s">
        <v>99</v>
      </c>
      <c r="E29" s="11" t="s">
        <v>100</v>
      </c>
      <c r="F29" s="11" t="s">
        <v>117</v>
      </c>
      <c r="G29" s="11" t="s">
        <v>118</v>
      </c>
      <c r="H29" s="11" t="s">
        <v>19</v>
      </c>
      <c r="I29" s="17">
        <v>5</v>
      </c>
      <c r="J29" s="17">
        <v>89.99</v>
      </c>
      <c r="K29" s="11" t="s">
        <v>20</v>
      </c>
      <c r="L29" s="11" t="s">
        <v>40</v>
      </c>
      <c r="M29" s="11" t="s">
        <v>27</v>
      </c>
      <c r="N29" s="18">
        <v>44919</v>
      </c>
      <c r="O29" s="19">
        <v>449.95</v>
      </c>
      <c r="P29" s="3">
        <f t="shared" ca="1" si="0"/>
        <v>125</v>
      </c>
      <c r="Q29" s="3" t="str">
        <f t="shared" si="1"/>
        <v>Normal</v>
      </c>
      <c r="R29" s="3">
        <f t="shared" si="2"/>
        <v>34</v>
      </c>
      <c r="T29" s="21" t="str">
        <f t="shared" si="4"/>
        <v>PM</v>
      </c>
    </row>
    <row r="30" spans="1:20">
      <c r="A30" s="11" t="s">
        <v>119</v>
      </c>
      <c r="B30" s="18">
        <v>45425</v>
      </c>
      <c r="C30" s="18" t="str">
        <f t="shared" si="3"/>
        <v>May</v>
      </c>
      <c r="D30" s="11" t="s">
        <v>120</v>
      </c>
      <c r="E30" s="11" t="s">
        <v>121</v>
      </c>
      <c r="F30" s="11" t="s">
        <v>31</v>
      </c>
      <c r="G30" s="11" t="s">
        <v>32</v>
      </c>
      <c r="H30" s="11" t="s">
        <v>33</v>
      </c>
      <c r="I30" s="17">
        <v>2</v>
      </c>
      <c r="J30" s="17">
        <v>59.99</v>
      </c>
      <c r="K30" s="11" t="s">
        <v>57</v>
      </c>
      <c r="L30" s="11" t="s">
        <v>21</v>
      </c>
      <c r="M30" s="11" t="s">
        <v>36</v>
      </c>
      <c r="N30" s="18">
        <v>45214</v>
      </c>
      <c r="O30" s="19">
        <v>119.98</v>
      </c>
      <c r="P30" s="3">
        <f t="shared" ca="1" si="0"/>
        <v>126</v>
      </c>
      <c r="Q30" s="3" t="str">
        <f t="shared" si="1"/>
        <v>Normal</v>
      </c>
      <c r="R30" s="3">
        <f t="shared" si="2"/>
        <v>29</v>
      </c>
      <c r="T30" s="21" t="str">
        <f t="shared" si="4"/>
        <v>HR</v>
      </c>
    </row>
    <row r="31" spans="1:20" ht="31.5">
      <c r="A31" s="11" t="s">
        <v>122</v>
      </c>
      <c r="B31" s="18">
        <v>45427</v>
      </c>
      <c r="C31" s="18" t="str">
        <f t="shared" si="3"/>
        <v>May</v>
      </c>
      <c r="D31" s="11" t="s">
        <v>123</v>
      </c>
      <c r="E31" s="11" t="s">
        <v>124</v>
      </c>
      <c r="F31" s="11" t="s">
        <v>31</v>
      </c>
      <c r="G31" s="11" t="s">
        <v>32</v>
      </c>
      <c r="H31" s="11" t="s">
        <v>33</v>
      </c>
      <c r="I31" s="17">
        <v>4</v>
      </c>
      <c r="J31" s="17">
        <v>59.99</v>
      </c>
      <c r="K31" s="11" t="s">
        <v>57</v>
      </c>
      <c r="L31" s="11" t="s">
        <v>63</v>
      </c>
      <c r="M31" s="11" t="s">
        <v>36</v>
      </c>
      <c r="N31" s="18">
        <v>44867</v>
      </c>
      <c r="O31" s="19">
        <v>239.96</v>
      </c>
      <c r="P31" s="3">
        <f t="shared" ca="1" si="0"/>
        <v>125</v>
      </c>
      <c r="Q31" s="3" t="str">
        <f t="shared" si="1"/>
        <v>Normal</v>
      </c>
      <c r="R31" s="3">
        <f t="shared" si="2"/>
        <v>29</v>
      </c>
      <c r="T31" s="21" t="str">
        <f t="shared" si="4"/>
        <v>EM</v>
      </c>
    </row>
    <row r="32" spans="1:20">
      <c r="A32" s="11" t="s">
        <v>125</v>
      </c>
      <c r="B32" s="18">
        <v>45427</v>
      </c>
      <c r="C32" s="18" t="str">
        <f t="shared" si="3"/>
        <v>May</v>
      </c>
      <c r="D32" s="11" t="s">
        <v>55</v>
      </c>
      <c r="E32" s="11" t="s">
        <v>56</v>
      </c>
      <c r="F32" s="11" t="s">
        <v>126</v>
      </c>
      <c r="G32" s="11" t="s">
        <v>127</v>
      </c>
      <c r="H32" s="11" t="s">
        <v>46</v>
      </c>
      <c r="I32" s="17">
        <v>5</v>
      </c>
      <c r="J32" s="17">
        <v>199.99</v>
      </c>
      <c r="K32" s="11" t="s">
        <v>20</v>
      </c>
      <c r="L32" s="11" t="s">
        <v>35</v>
      </c>
      <c r="M32" s="11" t="s">
        <v>36</v>
      </c>
      <c r="N32" s="18">
        <v>44412</v>
      </c>
      <c r="O32" s="19">
        <v>999.95</v>
      </c>
      <c r="P32" s="3">
        <f t="shared" ca="1" si="0"/>
        <v>123</v>
      </c>
      <c r="Q32" s="3" t="str">
        <f t="shared" si="1"/>
        <v>Normal</v>
      </c>
      <c r="R32" s="3">
        <f t="shared" si="2"/>
        <v>15</v>
      </c>
      <c r="T32" s="21" t="str">
        <f t="shared" si="4"/>
        <v>CA</v>
      </c>
    </row>
    <row r="33" spans="1:20">
      <c r="A33" s="11" t="s">
        <v>128</v>
      </c>
      <c r="B33" s="18">
        <v>45428</v>
      </c>
      <c r="C33" s="18" t="str">
        <f t="shared" si="3"/>
        <v>May</v>
      </c>
      <c r="D33" s="11" t="s">
        <v>129</v>
      </c>
      <c r="E33" s="11" t="s">
        <v>130</v>
      </c>
      <c r="F33" s="11" t="s">
        <v>44</v>
      </c>
      <c r="G33" s="11" t="s">
        <v>45</v>
      </c>
      <c r="H33" s="11" t="s">
        <v>46</v>
      </c>
      <c r="I33" s="17">
        <v>2</v>
      </c>
      <c r="J33" s="17">
        <v>149.99</v>
      </c>
      <c r="K33" s="11" t="s">
        <v>26</v>
      </c>
      <c r="L33" s="11" t="s">
        <v>50</v>
      </c>
      <c r="M33" s="11" t="s">
        <v>22</v>
      </c>
      <c r="N33" s="18">
        <v>44823</v>
      </c>
      <c r="O33" s="19">
        <v>299.98</v>
      </c>
      <c r="P33" s="3">
        <f t="shared" ca="1" si="0"/>
        <v>125</v>
      </c>
      <c r="Q33" s="3" t="str">
        <f t="shared" si="1"/>
        <v>Normal</v>
      </c>
      <c r="R33" s="3">
        <f t="shared" si="2"/>
        <v>35</v>
      </c>
      <c r="T33" s="21" t="str">
        <f t="shared" si="4"/>
        <v>LA</v>
      </c>
    </row>
    <row r="34" spans="1:20">
      <c r="A34" s="11" t="s">
        <v>131</v>
      </c>
      <c r="B34" s="18">
        <v>45430</v>
      </c>
      <c r="C34" s="18" t="str">
        <f t="shared" si="3"/>
        <v>May</v>
      </c>
      <c r="D34" s="11" t="s">
        <v>132</v>
      </c>
      <c r="E34" s="11" t="s">
        <v>133</v>
      </c>
      <c r="F34" s="11" t="s">
        <v>44</v>
      </c>
      <c r="G34" s="11" t="s">
        <v>45</v>
      </c>
      <c r="H34" s="11" t="s">
        <v>46</v>
      </c>
      <c r="I34" s="17">
        <v>3</v>
      </c>
      <c r="J34" s="17">
        <v>149.99</v>
      </c>
      <c r="K34" s="11" t="s">
        <v>26</v>
      </c>
      <c r="L34" s="11" t="s">
        <v>50</v>
      </c>
      <c r="M34" s="11" t="s">
        <v>27</v>
      </c>
      <c r="N34" s="18">
        <v>45068</v>
      </c>
      <c r="O34" s="19">
        <v>449.97</v>
      </c>
      <c r="P34" s="3">
        <f t="shared" ca="1" si="0"/>
        <v>125</v>
      </c>
      <c r="Q34" s="3" t="str">
        <f t="shared" si="1"/>
        <v>Normal</v>
      </c>
      <c r="R34" s="3">
        <f t="shared" si="2"/>
        <v>35</v>
      </c>
      <c r="T34" s="21" t="str">
        <f t="shared" si="4"/>
        <v>EW</v>
      </c>
    </row>
    <row r="35" spans="1:20">
      <c r="A35" s="11" t="s">
        <v>134</v>
      </c>
      <c r="B35" s="18">
        <v>45432</v>
      </c>
      <c r="C35" s="18" t="str">
        <f t="shared" si="3"/>
        <v>May</v>
      </c>
      <c r="D35" s="11" t="s">
        <v>29</v>
      </c>
      <c r="E35" s="11" t="s">
        <v>30</v>
      </c>
      <c r="F35" s="11" t="s">
        <v>61</v>
      </c>
      <c r="G35" s="11" t="s">
        <v>62</v>
      </c>
      <c r="H35" s="11" t="s">
        <v>19</v>
      </c>
      <c r="I35" s="17">
        <v>1</v>
      </c>
      <c r="J35" s="17">
        <v>899.99</v>
      </c>
      <c r="K35" s="11" t="s">
        <v>26</v>
      </c>
      <c r="L35" s="11" t="s">
        <v>50</v>
      </c>
      <c r="M35" s="11" t="s">
        <v>27</v>
      </c>
      <c r="N35" s="18">
        <v>44578</v>
      </c>
      <c r="O35" s="19">
        <v>899.99</v>
      </c>
      <c r="P35" s="3">
        <f t="shared" ca="1" si="0"/>
        <v>123</v>
      </c>
      <c r="Q35" s="3" t="str">
        <f t="shared" si="1"/>
        <v>Normal</v>
      </c>
      <c r="R35" s="3">
        <f t="shared" si="2"/>
        <v>24</v>
      </c>
      <c r="T35" s="21" t="str">
        <f t="shared" si="4"/>
        <v>KS</v>
      </c>
    </row>
    <row r="36" spans="1:20" ht="31.5">
      <c r="A36" s="11" t="s">
        <v>135</v>
      </c>
      <c r="B36" s="18">
        <v>45434</v>
      </c>
      <c r="C36" s="18" t="str">
        <f t="shared" si="3"/>
        <v>May</v>
      </c>
      <c r="D36" s="11" t="s">
        <v>99</v>
      </c>
      <c r="E36" s="11" t="s">
        <v>100</v>
      </c>
      <c r="F36" s="11" t="s">
        <v>105</v>
      </c>
      <c r="G36" s="11" t="s">
        <v>106</v>
      </c>
      <c r="H36" s="11" t="s">
        <v>46</v>
      </c>
      <c r="I36" s="17">
        <v>3</v>
      </c>
      <c r="J36" s="17">
        <v>299.99</v>
      </c>
      <c r="K36" s="11" t="s">
        <v>26</v>
      </c>
      <c r="L36" s="11" t="s">
        <v>63</v>
      </c>
      <c r="M36" s="11" t="s">
        <v>22</v>
      </c>
      <c r="N36" s="18">
        <v>44824</v>
      </c>
      <c r="O36" s="19">
        <v>899.97</v>
      </c>
      <c r="P36" s="3">
        <f t="shared" ca="1" si="0"/>
        <v>123</v>
      </c>
      <c r="Q36" s="3" t="str">
        <f t="shared" si="1"/>
        <v>Normal</v>
      </c>
      <c r="R36" s="3">
        <f t="shared" si="2"/>
        <v>26</v>
      </c>
      <c r="T36" s="21" t="str">
        <f t="shared" si="4"/>
        <v>PM</v>
      </c>
    </row>
    <row r="37" spans="1:20">
      <c r="A37" s="11" t="s">
        <v>136</v>
      </c>
      <c r="B37" s="18">
        <v>45435</v>
      </c>
      <c r="C37" s="18" t="str">
        <f t="shared" si="3"/>
        <v>May</v>
      </c>
      <c r="D37" s="11" t="s">
        <v>129</v>
      </c>
      <c r="E37" s="11" t="s">
        <v>130</v>
      </c>
      <c r="F37" s="11" t="s">
        <v>114</v>
      </c>
      <c r="G37" s="11" t="s">
        <v>115</v>
      </c>
      <c r="H37" s="11" t="s">
        <v>33</v>
      </c>
      <c r="I37" s="17">
        <v>3</v>
      </c>
      <c r="J37" s="17">
        <v>79.989999999999995</v>
      </c>
      <c r="K37" s="11" t="s">
        <v>20</v>
      </c>
      <c r="L37" s="11" t="s">
        <v>35</v>
      </c>
      <c r="M37" s="11" t="s">
        <v>22</v>
      </c>
      <c r="N37" s="18">
        <v>45046</v>
      </c>
      <c r="O37" s="19">
        <v>239.97</v>
      </c>
      <c r="P37" s="3">
        <f t="shared" ca="1" si="0"/>
        <v>125</v>
      </c>
      <c r="Q37" s="3" t="str">
        <f t="shared" si="1"/>
        <v>Normal</v>
      </c>
      <c r="R37" s="3">
        <f t="shared" si="2"/>
        <v>14</v>
      </c>
      <c r="T37" s="21" t="str">
        <f t="shared" si="4"/>
        <v>LA</v>
      </c>
    </row>
    <row r="38" spans="1:20">
      <c r="A38" s="11" t="s">
        <v>137</v>
      </c>
      <c r="B38" s="18">
        <v>45438</v>
      </c>
      <c r="C38" s="18" t="str">
        <f t="shared" si="3"/>
        <v>May</v>
      </c>
      <c r="D38" s="11" t="s">
        <v>138</v>
      </c>
      <c r="E38" s="11" t="s">
        <v>139</v>
      </c>
      <c r="F38" s="11" t="s">
        <v>126</v>
      </c>
      <c r="G38" s="11" t="s">
        <v>127</v>
      </c>
      <c r="H38" s="11" t="s">
        <v>46</v>
      </c>
      <c r="I38" s="17">
        <v>3</v>
      </c>
      <c r="J38" s="17">
        <v>199.99</v>
      </c>
      <c r="K38" s="11" t="s">
        <v>26</v>
      </c>
      <c r="L38" s="11" t="s">
        <v>40</v>
      </c>
      <c r="M38" s="11" t="s">
        <v>27</v>
      </c>
      <c r="N38" s="18">
        <v>45292</v>
      </c>
      <c r="O38" s="19">
        <v>599.97</v>
      </c>
      <c r="P38" s="3">
        <f t="shared" ca="1" si="0"/>
        <v>124</v>
      </c>
      <c r="Q38" s="3" t="str">
        <f t="shared" si="1"/>
        <v>Normal</v>
      </c>
      <c r="R38" s="3">
        <f t="shared" si="2"/>
        <v>15</v>
      </c>
      <c r="T38" s="21" t="str">
        <f t="shared" si="4"/>
        <v>ST</v>
      </c>
    </row>
    <row r="39" spans="1:20" ht="31.5">
      <c r="A39" s="11" t="s">
        <v>140</v>
      </c>
      <c r="B39" s="18">
        <v>45440</v>
      </c>
      <c r="C39" s="18" t="str">
        <f t="shared" si="3"/>
        <v>May</v>
      </c>
      <c r="D39" s="11" t="s">
        <v>141</v>
      </c>
      <c r="E39" s="11" t="s">
        <v>142</v>
      </c>
      <c r="F39" s="11" t="s">
        <v>80</v>
      </c>
      <c r="G39" s="11" t="s">
        <v>81</v>
      </c>
      <c r="H39" s="11" t="s">
        <v>19</v>
      </c>
      <c r="I39" s="17">
        <v>0</v>
      </c>
      <c r="J39" s="17">
        <v>699.99</v>
      </c>
      <c r="K39" s="11" t="s">
        <v>34</v>
      </c>
      <c r="L39" s="11" t="s">
        <v>50</v>
      </c>
      <c r="M39" s="11" t="s">
        <v>36</v>
      </c>
      <c r="N39" s="18">
        <v>44407</v>
      </c>
      <c r="O39" s="19">
        <v>3499.95</v>
      </c>
      <c r="P39" s="3">
        <f t="shared" ca="1" si="0"/>
        <v>116</v>
      </c>
      <c r="Q39" s="3" t="str">
        <f t="shared" si="1"/>
        <v>High Value</v>
      </c>
      <c r="R39" s="3">
        <f t="shared" si="2"/>
        <v>31</v>
      </c>
      <c r="T39" s="21" t="str">
        <f t="shared" si="4"/>
        <v>JT</v>
      </c>
    </row>
    <row r="40" spans="1:20">
      <c r="A40" s="11" t="s">
        <v>143</v>
      </c>
      <c r="B40" s="18">
        <v>45441</v>
      </c>
      <c r="C40" s="18" t="str">
        <f t="shared" si="3"/>
        <v>May</v>
      </c>
      <c r="D40" s="11" t="s">
        <v>144</v>
      </c>
      <c r="E40" s="11" t="s">
        <v>145</v>
      </c>
      <c r="F40" s="11" t="s">
        <v>117</v>
      </c>
      <c r="G40" s="11" t="s">
        <v>118</v>
      </c>
      <c r="H40" s="11" t="s">
        <v>19</v>
      </c>
      <c r="I40" s="17">
        <v>3</v>
      </c>
      <c r="J40" s="17">
        <v>89.99</v>
      </c>
      <c r="K40" s="11" t="s">
        <v>34</v>
      </c>
      <c r="L40" s="11" t="s">
        <v>21</v>
      </c>
      <c r="M40" s="11" t="s">
        <v>27</v>
      </c>
      <c r="N40" s="18">
        <v>45120</v>
      </c>
      <c r="O40" s="19">
        <v>269.97000000000003</v>
      </c>
      <c r="P40" s="3">
        <f t="shared" ca="1" si="0"/>
        <v>125</v>
      </c>
      <c r="Q40" s="3" t="str">
        <f t="shared" si="1"/>
        <v>Normal</v>
      </c>
      <c r="R40" s="3">
        <f t="shared" si="2"/>
        <v>34</v>
      </c>
      <c r="T40" s="21" t="str">
        <f t="shared" si="4"/>
        <v>HM</v>
      </c>
    </row>
    <row r="41" spans="1:20">
      <c r="A41" s="11" t="s">
        <v>146</v>
      </c>
      <c r="B41" s="18">
        <v>45443</v>
      </c>
      <c r="C41" s="18" t="str">
        <f t="shared" si="3"/>
        <v>May</v>
      </c>
      <c r="D41" s="11" t="s">
        <v>147</v>
      </c>
      <c r="E41" s="11" t="s">
        <v>148</v>
      </c>
      <c r="F41" s="11" t="s">
        <v>114</v>
      </c>
      <c r="G41" s="11" t="s">
        <v>115</v>
      </c>
      <c r="H41" s="11" t="s">
        <v>33</v>
      </c>
      <c r="I41" s="17">
        <v>1</v>
      </c>
      <c r="J41" s="17">
        <v>79.989999999999995</v>
      </c>
      <c r="K41" s="11" t="s">
        <v>20</v>
      </c>
      <c r="L41" s="11" t="s">
        <v>40</v>
      </c>
      <c r="M41" s="11" t="s">
        <v>36</v>
      </c>
      <c r="N41" s="18">
        <v>44917</v>
      </c>
      <c r="O41" s="19">
        <v>79.989999999999995</v>
      </c>
      <c r="P41" s="3">
        <f t="shared" ca="1" si="0"/>
        <v>126</v>
      </c>
      <c r="Q41" s="3" t="str">
        <f t="shared" si="1"/>
        <v>Normal</v>
      </c>
      <c r="R41" s="3">
        <f t="shared" si="2"/>
        <v>14</v>
      </c>
      <c r="T41" s="21" t="str">
        <f t="shared" si="4"/>
        <v>DK</v>
      </c>
    </row>
    <row r="42" spans="1:20">
      <c r="A42" s="11" t="s">
        <v>149</v>
      </c>
      <c r="B42" s="18">
        <v>45444</v>
      </c>
      <c r="C42" s="18" t="str">
        <f t="shared" si="3"/>
        <v>June</v>
      </c>
      <c r="D42" s="11" t="s">
        <v>150</v>
      </c>
      <c r="E42" s="11" t="s">
        <v>151</v>
      </c>
      <c r="F42" s="11" t="s">
        <v>31</v>
      </c>
      <c r="G42" s="11" t="s">
        <v>32</v>
      </c>
      <c r="H42" s="11" t="s">
        <v>33</v>
      </c>
      <c r="I42" s="17">
        <v>2</v>
      </c>
      <c r="J42" s="17">
        <v>59.99</v>
      </c>
      <c r="K42" s="11" t="s">
        <v>20</v>
      </c>
      <c r="L42" s="11" t="s">
        <v>50</v>
      </c>
      <c r="M42" s="11" t="s">
        <v>22</v>
      </c>
      <c r="N42" s="18">
        <v>45390</v>
      </c>
      <c r="O42" s="19">
        <v>119.98</v>
      </c>
      <c r="P42" s="3">
        <f t="shared" ca="1" si="0"/>
        <v>126</v>
      </c>
      <c r="Q42" s="3" t="str">
        <f t="shared" si="1"/>
        <v>Normal</v>
      </c>
      <c r="R42" s="3">
        <f t="shared" si="2"/>
        <v>29</v>
      </c>
      <c r="T42" s="21" t="str">
        <f t="shared" si="4"/>
        <v>SB</v>
      </c>
    </row>
    <row r="43" spans="1:20">
      <c r="A43" s="11" t="s">
        <v>152</v>
      </c>
      <c r="B43" s="18">
        <v>45444</v>
      </c>
      <c r="C43" s="18" t="str">
        <f t="shared" si="3"/>
        <v>June</v>
      </c>
      <c r="D43" s="11" t="s">
        <v>55</v>
      </c>
      <c r="E43" s="11" t="s">
        <v>56</v>
      </c>
      <c r="F43" s="11" t="s">
        <v>117</v>
      </c>
      <c r="G43" s="11" t="s">
        <v>118</v>
      </c>
      <c r="H43" s="11" t="s">
        <v>19</v>
      </c>
      <c r="I43" s="17">
        <v>1</v>
      </c>
      <c r="J43" s="17">
        <v>89.99</v>
      </c>
      <c r="K43" s="11" t="s">
        <v>20</v>
      </c>
      <c r="L43" s="11" t="s">
        <v>40</v>
      </c>
      <c r="M43" s="11" t="s">
        <v>22</v>
      </c>
      <c r="N43" s="18">
        <v>45141</v>
      </c>
      <c r="O43" s="19">
        <v>89.99</v>
      </c>
      <c r="P43" s="3">
        <f t="shared" ca="1" si="0"/>
        <v>126</v>
      </c>
      <c r="Q43" s="3" t="str">
        <f t="shared" si="1"/>
        <v>Normal</v>
      </c>
      <c r="R43" s="3">
        <f t="shared" si="2"/>
        <v>34</v>
      </c>
      <c r="T43" s="21" t="str">
        <f t="shared" si="4"/>
        <v>CA</v>
      </c>
    </row>
    <row r="44" spans="1:20">
      <c r="A44" s="11" t="s">
        <v>153</v>
      </c>
      <c r="B44" s="18">
        <v>45446</v>
      </c>
      <c r="C44" s="18" t="str">
        <f t="shared" si="3"/>
        <v>June</v>
      </c>
      <c r="D44" s="11" t="s">
        <v>154</v>
      </c>
      <c r="E44" s="11" t="s">
        <v>155</v>
      </c>
      <c r="F44" s="11" t="s">
        <v>117</v>
      </c>
      <c r="G44" s="11" t="s">
        <v>118</v>
      </c>
      <c r="H44" s="11" t="s">
        <v>19</v>
      </c>
      <c r="I44" s="17">
        <v>5</v>
      </c>
      <c r="J44" s="17">
        <v>89.99</v>
      </c>
      <c r="K44" s="11" t="s">
        <v>26</v>
      </c>
      <c r="L44" s="11" t="s">
        <v>63</v>
      </c>
      <c r="M44" s="11" t="s">
        <v>36</v>
      </c>
      <c r="N44" s="18">
        <v>44587</v>
      </c>
      <c r="O44" s="19">
        <v>449.95</v>
      </c>
      <c r="P44" s="3">
        <f t="shared" ca="1" si="0"/>
        <v>125</v>
      </c>
      <c r="Q44" s="3" t="str">
        <f t="shared" si="1"/>
        <v>Normal</v>
      </c>
      <c r="R44" s="3">
        <f t="shared" si="2"/>
        <v>34</v>
      </c>
      <c r="T44" s="21" t="str">
        <f t="shared" si="4"/>
        <v>SD</v>
      </c>
    </row>
    <row r="45" spans="1:20" ht="31.5">
      <c r="A45" s="11" t="s">
        <v>156</v>
      </c>
      <c r="B45" s="18">
        <v>45449</v>
      </c>
      <c r="C45" s="18" t="str">
        <f t="shared" si="3"/>
        <v>June</v>
      </c>
      <c r="D45" s="11" t="s">
        <v>24</v>
      </c>
      <c r="E45" s="11" t="s">
        <v>25</v>
      </c>
      <c r="F45" s="11" t="s">
        <v>17</v>
      </c>
      <c r="G45" s="11" t="s">
        <v>18</v>
      </c>
      <c r="H45" s="11" t="s">
        <v>19</v>
      </c>
      <c r="I45" s="17">
        <v>5</v>
      </c>
      <c r="J45" s="17">
        <v>249.99</v>
      </c>
      <c r="K45" s="11" t="s">
        <v>26</v>
      </c>
      <c r="L45" s="11" t="s">
        <v>63</v>
      </c>
      <c r="M45" s="11" t="s">
        <v>36</v>
      </c>
      <c r="N45" s="18">
        <v>44707</v>
      </c>
      <c r="O45" s="19">
        <v>1249.95</v>
      </c>
      <c r="P45" s="3">
        <f t="shared" ca="1" si="0"/>
        <v>122</v>
      </c>
      <c r="Q45" s="3" t="str">
        <f t="shared" si="1"/>
        <v>Normal</v>
      </c>
      <c r="R45" s="3">
        <f t="shared" si="2"/>
        <v>26</v>
      </c>
      <c r="T45" s="21" t="str">
        <f t="shared" si="4"/>
        <v>JJ</v>
      </c>
    </row>
    <row r="46" spans="1:20" ht="31.5">
      <c r="A46" s="11" t="s">
        <v>157</v>
      </c>
      <c r="B46" s="18">
        <v>45449</v>
      </c>
      <c r="C46" s="18" t="str">
        <f t="shared" si="3"/>
        <v>June</v>
      </c>
      <c r="D46" s="11" t="s">
        <v>158</v>
      </c>
      <c r="E46" s="11" t="s">
        <v>159</v>
      </c>
      <c r="F46" s="11" t="s">
        <v>117</v>
      </c>
      <c r="G46" s="11" t="s">
        <v>118</v>
      </c>
      <c r="H46" s="11" t="s">
        <v>19</v>
      </c>
      <c r="I46" s="17">
        <v>1</v>
      </c>
      <c r="J46" s="17">
        <v>89.99</v>
      </c>
      <c r="K46" s="11" t="s">
        <v>26</v>
      </c>
      <c r="L46" s="11" t="s">
        <v>35</v>
      </c>
      <c r="M46" s="11" t="s">
        <v>36</v>
      </c>
      <c r="N46" s="18">
        <v>44582</v>
      </c>
      <c r="O46" s="19">
        <v>89.99</v>
      </c>
      <c r="P46" s="3">
        <f t="shared" ca="1" si="0"/>
        <v>126</v>
      </c>
      <c r="Q46" s="3" t="str">
        <f t="shared" si="1"/>
        <v>Normal</v>
      </c>
      <c r="R46" s="3">
        <f t="shared" si="2"/>
        <v>34</v>
      </c>
      <c r="T46" s="21" t="str">
        <f t="shared" si="4"/>
        <v>BC</v>
      </c>
    </row>
    <row r="47" spans="1:20" ht="31.5">
      <c r="A47" s="11" t="s">
        <v>160</v>
      </c>
      <c r="B47" s="18">
        <v>45450</v>
      </c>
      <c r="C47" s="18" t="str">
        <f t="shared" si="3"/>
        <v>June</v>
      </c>
      <c r="D47" s="11" t="s">
        <v>42</v>
      </c>
      <c r="E47" s="11" t="s">
        <v>43</v>
      </c>
      <c r="F47" s="11" t="s">
        <v>44</v>
      </c>
      <c r="G47" s="11" t="s">
        <v>45</v>
      </c>
      <c r="H47" s="11" t="s">
        <v>46</v>
      </c>
      <c r="I47" s="17">
        <v>2</v>
      </c>
      <c r="J47" s="17">
        <v>149.99</v>
      </c>
      <c r="K47" s="11" t="s">
        <v>20</v>
      </c>
      <c r="L47" s="11" t="s">
        <v>63</v>
      </c>
      <c r="M47" s="11" t="s">
        <v>27</v>
      </c>
      <c r="N47" s="18">
        <v>44645</v>
      </c>
      <c r="O47" s="19">
        <v>299.98</v>
      </c>
      <c r="P47" s="3">
        <f t="shared" ca="1" si="0"/>
        <v>125</v>
      </c>
      <c r="Q47" s="3" t="str">
        <f t="shared" si="1"/>
        <v>Normal</v>
      </c>
      <c r="R47" s="3">
        <f t="shared" si="2"/>
        <v>35</v>
      </c>
      <c r="T47" s="21" t="str">
        <f t="shared" si="4"/>
        <v>MB</v>
      </c>
    </row>
    <row r="48" spans="1:20">
      <c r="A48" s="11" t="s">
        <v>161</v>
      </c>
      <c r="B48" s="18">
        <v>45452</v>
      </c>
      <c r="C48" s="18" t="str">
        <f t="shared" si="3"/>
        <v>June</v>
      </c>
      <c r="D48" s="11" t="s">
        <v>162</v>
      </c>
      <c r="E48" s="11" t="s">
        <v>163</v>
      </c>
      <c r="F48" s="11" t="s">
        <v>31</v>
      </c>
      <c r="G48" s="11" t="s">
        <v>32</v>
      </c>
      <c r="H48" s="11" t="s">
        <v>33</v>
      </c>
      <c r="I48" s="17">
        <v>4</v>
      </c>
      <c r="J48" s="17">
        <v>59.99</v>
      </c>
      <c r="K48" s="11" t="s">
        <v>20</v>
      </c>
      <c r="L48" s="11" t="s">
        <v>63</v>
      </c>
      <c r="M48" s="11" t="s">
        <v>36</v>
      </c>
      <c r="N48" s="18">
        <v>44435</v>
      </c>
      <c r="O48" s="19">
        <v>239.96</v>
      </c>
      <c r="P48" s="3">
        <f t="shared" ca="1" si="0"/>
        <v>125</v>
      </c>
      <c r="Q48" s="3" t="str">
        <f t="shared" si="1"/>
        <v>Normal</v>
      </c>
      <c r="R48" s="3">
        <f t="shared" si="2"/>
        <v>29</v>
      </c>
      <c r="T48" s="21" t="str">
        <f t="shared" si="4"/>
        <v>JF</v>
      </c>
    </row>
    <row r="49" spans="1:20">
      <c r="A49" s="11" t="s">
        <v>164</v>
      </c>
      <c r="B49" s="18">
        <v>45456</v>
      </c>
      <c r="C49" s="18" t="str">
        <f t="shared" si="3"/>
        <v>June</v>
      </c>
      <c r="D49" s="11" t="s">
        <v>129</v>
      </c>
      <c r="E49" s="11" t="s">
        <v>130</v>
      </c>
      <c r="F49" s="11" t="s">
        <v>117</v>
      </c>
      <c r="G49" s="11" t="s">
        <v>118</v>
      </c>
      <c r="H49" s="11" t="s">
        <v>19</v>
      </c>
      <c r="I49" s="17">
        <v>0</v>
      </c>
      <c r="J49" s="17">
        <v>89.99</v>
      </c>
      <c r="K49" s="11" t="s">
        <v>20</v>
      </c>
      <c r="L49" s="11" t="s">
        <v>21</v>
      </c>
      <c r="M49" s="11" t="s">
        <v>27</v>
      </c>
      <c r="N49" s="18">
        <v>44579</v>
      </c>
      <c r="O49" s="19">
        <v>449.95</v>
      </c>
      <c r="P49" s="3">
        <f t="shared" ca="1" si="0"/>
        <v>125</v>
      </c>
      <c r="Q49" s="3" t="str">
        <f t="shared" si="1"/>
        <v>Normal</v>
      </c>
      <c r="R49" s="3">
        <f t="shared" si="2"/>
        <v>34</v>
      </c>
      <c r="T49" s="21" t="str">
        <f t="shared" si="4"/>
        <v>LA</v>
      </c>
    </row>
    <row r="50" spans="1:20" ht="31.5">
      <c r="A50" s="11" t="s">
        <v>165</v>
      </c>
      <c r="B50" s="18">
        <v>45459</v>
      </c>
      <c r="C50" s="18" t="str">
        <f t="shared" si="3"/>
        <v>June</v>
      </c>
      <c r="D50" s="11" t="s">
        <v>99</v>
      </c>
      <c r="E50" s="11" t="s">
        <v>100</v>
      </c>
      <c r="F50" s="11" t="s">
        <v>117</v>
      </c>
      <c r="G50" s="11" t="s">
        <v>118</v>
      </c>
      <c r="H50" s="11" t="s">
        <v>19</v>
      </c>
      <c r="I50" s="17">
        <v>2</v>
      </c>
      <c r="J50" s="17">
        <v>89.99</v>
      </c>
      <c r="K50" s="11" t="s">
        <v>26</v>
      </c>
      <c r="L50" s="11" t="s">
        <v>35</v>
      </c>
      <c r="M50" s="11" t="s">
        <v>27</v>
      </c>
      <c r="N50" s="18">
        <v>44471</v>
      </c>
      <c r="O50" s="19">
        <v>179.98</v>
      </c>
      <c r="P50" s="3">
        <f t="shared" ca="1" si="0"/>
        <v>125</v>
      </c>
      <c r="Q50" s="3" t="str">
        <f t="shared" si="1"/>
        <v>Normal</v>
      </c>
      <c r="R50" s="3">
        <f t="shared" si="2"/>
        <v>34</v>
      </c>
      <c r="T50" s="21" t="str">
        <f t="shared" si="4"/>
        <v>PM</v>
      </c>
    </row>
    <row r="51" spans="1:20">
      <c r="A51" s="11" t="s">
        <v>166</v>
      </c>
      <c r="B51" s="18">
        <v>45459</v>
      </c>
      <c r="C51" s="18" t="str">
        <f t="shared" si="3"/>
        <v>June</v>
      </c>
      <c r="D51" s="11" t="s">
        <v>15</v>
      </c>
      <c r="E51" s="11" t="s">
        <v>16</v>
      </c>
      <c r="F51" s="11" t="s">
        <v>61</v>
      </c>
      <c r="G51" s="11" t="s">
        <v>62</v>
      </c>
      <c r="H51" s="11" t="s">
        <v>19</v>
      </c>
      <c r="I51" s="17">
        <v>5</v>
      </c>
      <c r="J51" s="17">
        <v>899.99</v>
      </c>
      <c r="K51" s="11" t="s">
        <v>26</v>
      </c>
      <c r="L51" s="11" t="s">
        <v>35</v>
      </c>
      <c r="M51" s="11" t="s">
        <v>36</v>
      </c>
      <c r="N51" s="18">
        <v>44974</v>
      </c>
      <c r="O51" s="19">
        <v>4499.95</v>
      </c>
      <c r="P51" s="3">
        <f t="shared" ca="1" si="0"/>
        <v>114</v>
      </c>
      <c r="Q51" s="3" t="str">
        <f t="shared" si="1"/>
        <v>High Value</v>
      </c>
      <c r="R51" s="3">
        <f t="shared" si="2"/>
        <v>24</v>
      </c>
      <c r="T51" s="21" t="str">
        <f t="shared" si="4"/>
        <v>PB</v>
      </c>
    </row>
    <row r="52" spans="1:20" ht="31.5">
      <c r="A52" s="11" t="s">
        <v>167</v>
      </c>
      <c r="B52" s="18">
        <v>45459</v>
      </c>
      <c r="C52" s="18" t="str">
        <f t="shared" si="3"/>
        <v>June</v>
      </c>
      <c r="D52" s="11" t="s">
        <v>123</v>
      </c>
      <c r="E52" s="11" t="s">
        <v>124</v>
      </c>
      <c r="F52" s="11" t="s">
        <v>61</v>
      </c>
      <c r="G52" s="11" t="s">
        <v>62</v>
      </c>
      <c r="H52" s="11" t="s">
        <v>19</v>
      </c>
      <c r="I52" s="17">
        <v>5</v>
      </c>
      <c r="J52" s="17">
        <v>899.99</v>
      </c>
      <c r="K52" s="11" t="s">
        <v>34</v>
      </c>
      <c r="L52" s="11" t="s">
        <v>63</v>
      </c>
      <c r="M52" s="11" t="s">
        <v>27</v>
      </c>
      <c r="N52" s="18">
        <v>45278</v>
      </c>
      <c r="O52" s="19">
        <v>4499.95</v>
      </c>
      <c r="P52" s="3">
        <f t="shared" ca="1" si="0"/>
        <v>114</v>
      </c>
      <c r="Q52" s="3" t="str">
        <f t="shared" si="1"/>
        <v>High Value</v>
      </c>
      <c r="R52" s="3">
        <f t="shared" si="2"/>
        <v>24</v>
      </c>
      <c r="T52" s="21" t="str">
        <f t="shared" si="4"/>
        <v>EM</v>
      </c>
    </row>
    <row r="53" spans="1:20" ht="31.5">
      <c r="A53" s="11" t="s">
        <v>168</v>
      </c>
      <c r="B53" s="18">
        <v>45460</v>
      </c>
      <c r="C53" s="18" t="str">
        <f t="shared" si="3"/>
        <v>June</v>
      </c>
      <c r="D53" s="11" t="s">
        <v>158</v>
      </c>
      <c r="E53" s="11" t="s">
        <v>159</v>
      </c>
      <c r="F53" s="11" t="s">
        <v>31</v>
      </c>
      <c r="G53" s="11" t="s">
        <v>32</v>
      </c>
      <c r="H53" s="11" t="s">
        <v>33</v>
      </c>
      <c r="I53" s="17">
        <v>1</v>
      </c>
      <c r="J53" s="17">
        <v>59.99</v>
      </c>
      <c r="K53" s="11" t="s">
        <v>57</v>
      </c>
      <c r="L53" s="11" t="s">
        <v>50</v>
      </c>
      <c r="M53" s="11" t="s">
        <v>27</v>
      </c>
      <c r="N53" s="18">
        <v>45190</v>
      </c>
      <c r="O53" s="19">
        <v>59.99</v>
      </c>
      <c r="P53" s="3">
        <f t="shared" ca="1" si="0"/>
        <v>126</v>
      </c>
      <c r="Q53" s="3" t="str">
        <f t="shared" si="1"/>
        <v>Normal</v>
      </c>
      <c r="R53" s="3">
        <f t="shared" si="2"/>
        <v>29</v>
      </c>
      <c r="T53" s="21" t="str">
        <f t="shared" si="4"/>
        <v>BC</v>
      </c>
    </row>
    <row r="54" spans="1:20" ht="31.5">
      <c r="A54" s="11" t="s">
        <v>169</v>
      </c>
      <c r="B54" s="18">
        <v>45460</v>
      </c>
      <c r="C54" s="18" t="str">
        <f t="shared" si="3"/>
        <v>June</v>
      </c>
      <c r="D54" s="11" t="s">
        <v>141</v>
      </c>
      <c r="E54" s="11" t="s">
        <v>142</v>
      </c>
      <c r="F54" s="11" t="s">
        <v>105</v>
      </c>
      <c r="G54" s="11" t="s">
        <v>106</v>
      </c>
      <c r="H54" s="11" t="s">
        <v>46</v>
      </c>
      <c r="I54" s="17">
        <v>2</v>
      </c>
      <c r="J54" s="17">
        <v>299.99</v>
      </c>
      <c r="K54" s="11" t="s">
        <v>57</v>
      </c>
      <c r="L54" s="11" t="s">
        <v>63</v>
      </c>
      <c r="M54" s="11" t="s">
        <v>36</v>
      </c>
      <c r="N54" s="18">
        <v>45253</v>
      </c>
      <c r="O54" s="19">
        <v>599.98</v>
      </c>
      <c r="P54" s="3">
        <f t="shared" ca="1" si="0"/>
        <v>124</v>
      </c>
      <c r="Q54" s="3" t="str">
        <f t="shared" si="1"/>
        <v>Normal</v>
      </c>
      <c r="R54" s="3">
        <f t="shared" si="2"/>
        <v>26</v>
      </c>
      <c r="T54" s="21" t="str">
        <f t="shared" si="4"/>
        <v>JT</v>
      </c>
    </row>
    <row r="55" spans="1:20">
      <c r="A55" s="11" t="s">
        <v>170</v>
      </c>
      <c r="B55" s="18">
        <v>45468</v>
      </c>
      <c r="C55" s="18" t="str">
        <f t="shared" si="3"/>
        <v>June</v>
      </c>
      <c r="D55" s="11" t="s">
        <v>171</v>
      </c>
      <c r="E55" s="11" t="s">
        <v>172</v>
      </c>
      <c r="F55" s="11" t="s">
        <v>117</v>
      </c>
      <c r="G55" s="11" t="s">
        <v>118</v>
      </c>
      <c r="H55" s="11" t="s">
        <v>19</v>
      </c>
      <c r="I55" s="17">
        <v>4</v>
      </c>
      <c r="J55" s="17">
        <v>89.99</v>
      </c>
      <c r="K55" s="11" t="s">
        <v>57</v>
      </c>
      <c r="L55" s="11" t="s">
        <v>35</v>
      </c>
      <c r="M55" s="11" t="s">
        <v>22</v>
      </c>
      <c r="N55" s="18">
        <v>45281</v>
      </c>
      <c r="O55" s="19">
        <v>359.96</v>
      </c>
      <c r="P55" s="3">
        <f t="shared" ca="1" si="0"/>
        <v>125</v>
      </c>
      <c r="Q55" s="3" t="str">
        <f t="shared" si="1"/>
        <v>Normal</v>
      </c>
      <c r="R55" s="3">
        <f t="shared" si="2"/>
        <v>34</v>
      </c>
      <c r="T55" s="21" t="str">
        <f t="shared" si="4"/>
        <v>RR</v>
      </c>
    </row>
    <row r="56" spans="1:20">
      <c r="A56" s="11" t="s">
        <v>173</v>
      </c>
      <c r="B56" s="18">
        <v>45469</v>
      </c>
      <c r="C56" s="18" t="str">
        <f t="shared" si="3"/>
        <v>June</v>
      </c>
      <c r="D56" s="11" t="s">
        <v>29</v>
      </c>
      <c r="E56" s="11" t="s">
        <v>30</v>
      </c>
      <c r="F56" s="11" t="s">
        <v>114</v>
      </c>
      <c r="G56" s="11" t="s">
        <v>115</v>
      </c>
      <c r="H56" s="11" t="s">
        <v>33</v>
      </c>
      <c r="I56" s="17">
        <v>1</v>
      </c>
      <c r="J56" s="17">
        <v>79.989999999999995</v>
      </c>
      <c r="K56" s="11" t="s">
        <v>34</v>
      </c>
      <c r="L56" s="11" t="s">
        <v>21</v>
      </c>
      <c r="M56" s="11" t="s">
        <v>27</v>
      </c>
      <c r="N56" s="18">
        <v>45352</v>
      </c>
      <c r="O56" s="19">
        <v>79.989999999999995</v>
      </c>
      <c r="P56" s="3">
        <f t="shared" ca="1" si="0"/>
        <v>126</v>
      </c>
      <c r="Q56" s="3" t="str">
        <f t="shared" si="1"/>
        <v>Normal</v>
      </c>
      <c r="R56" s="3">
        <f t="shared" si="2"/>
        <v>14</v>
      </c>
      <c r="T56" s="21" t="str">
        <f t="shared" si="4"/>
        <v>KS</v>
      </c>
    </row>
    <row r="57" spans="1:20" ht="31.5">
      <c r="A57" s="11" t="s">
        <v>174</v>
      </c>
      <c r="B57" s="18">
        <v>45469</v>
      </c>
      <c r="C57" s="18" t="str">
        <f t="shared" si="3"/>
        <v>June</v>
      </c>
      <c r="D57" s="11" t="s">
        <v>59</v>
      </c>
      <c r="E57" s="11" t="s">
        <v>60</v>
      </c>
      <c r="F57" s="11" t="s">
        <v>117</v>
      </c>
      <c r="G57" s="11" t="s">
        <v>118</v>
      </c>
      <c r="H57" s="11" t="s">
        <v>19</v>
      </c>
      <c r="I57" s="17">
        <v>2</v>
      </c>
      <c r="J57" s="17">
        <v>89.99</v>
      </c>
      <c r="K57" s="11" t="s">
        <v>20</v>
      </c>
      <c r="L57" s="11" t="s">
        <v>50</v>
      </c>
      <c r="M57" s="11" t="s">
        <v>22</v>
      </c>
      <c r="N57" s="18">
        <v>44438</v>
      </c>
      <c r="O57" s="19">
        <v>179.98</v>
      </c>
      <c r="P57" s="3">
        <f t="shared" ca="1" si="0"/>
        <v>125</v>
      </c>
      <c r="Q57" s="3" t="str">
        <f t="shared" si="1"/>
        <v>Normal</v>
      </c>
      <c r="R57" s="3">
        <f t="shared" si="2"/>
        <v>34</v>
      </c>
      <c r="T57" s="21" t="str">
        <f t="shared" si="4"/>
        <v>RT</v>
      </c>
    </row>
    <row r="58" spans="1:20" ht="31.5">
      <c r="A58" s="11" t="s">
        <v>175</v>
      </c>
      <c r="B58" s="18">
        <v>45471</v>
      </c>
      <c r="C58" s="18" t="str">
        <f t="shared" si="3"/>
        <v>June</v>
      </c>
      <c r="D58" s="11" t="s">
        <v>38</v>
      </c>
      <c r="E58" s="11" t="s">
        <v>39</v>
      </c>
      <c r="F58" s="11" t="s">
        <v>80</v>
      </c>
      <c r="G58" s="11" t="s">
        <v>81</v>
      </c>
      <c r="H58" s="11" t="s">
        <v>19</v>
      </c>
      <c r="I58" s="17">
        <v>0</v>
      </c>
      <c r="J58" s="17">
        <v>699.99</v>
      </c>
      <c r="K58" s="11" t="s">
        <v>26</v>
      </c>
      <c r="L58" s="11" t="s">
        <v>63</v>
      </c>
      <c r="M58" s="11" t="s">
        <v>27</v>
      </c>
      <c r="N58" s="18">
        <v>45102</v>
      </c>
      <c r="O58" s="19">
        <v>2099.9699999999998</v>
      </c>
      <c r="P58" s="3">
        <f t="shared" ca="1" si="0"/>
        <v>120</v>
      </c>
      <c r="Q58" s="3" t="str">
        <f t="shared" si="1"/>
        <v>High Value</v>
      </c>
      <c r="R58" s="3">
        <f t="shared" si="2"/>
        <v>31</v>
      </c>
      <c r="T58" s="21" t="str">
        <f t="shared" si="4"/>
        <v>KB</v>
      </c>
    </row>
    <row r="59" spans="1:20" ht="31.5">
      <c r="A59" s="11" t="s">
        <v>176</v>
      </c>
      <c r="B59" s="18">
        <v>45471</v>
      </c>
      <c r="C59" s="18" t="str">
        <f t="shared" si="3"/>
        <v>June</v>
      </c>
      <c r="D59" s="11" t="s">
        <v>99</v>
      </c>
      <c r="E59" s="11" t="s">
        <v>100</v>
      </c>
      <c r="F59" s="11" t="s">
        <v>61</v>
      </c>
      <c r="G59" s="11" t="s">
        <v>62</v>
      </c>
      <c r="H59" s="11" t="s">
        <v>19</v>
      </c>
      <c r="I59" s="17">
        <v>0</v>
      </c>
      <c r="J59" s="17">
        <v>899.99</v>
      </c>
      <c r="K59" s="11" t="s">
        <v>26</v>
      </c>
      <c r="L59" s="11" t="s">
        <v>63</v>
      </c>
      <c r="M59" s="11" t="s">
        <v>27</v>
      </c>
      <c r="N59" s="18">
        <v>44993</v>
      </c>
      <c r="O59" s="19">
        <v>3599.96</v>
      </c>
      <c r="P59" s="3">
        <f t="shared" ca="1" si="0"/>
        <v>116</v>
      </c>
      <c r="Q59" s="3" t="str">
        <f t="shared" si="1"/>
        <v>High Value</v>
      </c>
      <c r="R59" s="3">
        <f t="shared" si="2"/>
        <v>24</v>
      </c>
      <c r="T59" s="21" t="str">
        <f t="shared" si="4"/>
        <v>PM</v>
      </c>
    </row>
    <row r="60" spans="1:20">
      <c r="A60" s="11" t="s">
        <v>177</v>
      </c>
      <c r="B60" s="18">
        <v>45472</v>
      </c>
      <c r="C60" s="18" t="str">
        <f t="shared" si="3"/>
        <v>June</v>
      </c>
      <c r="D60" s="11" t="s">
        <v>120</v>
      </c>
      <c r="E60" s="11" t="s">
        <v>121</v>
      </c>
      <c r="F60" s="11" t="s">
        <v>44</v>
      </c>
      <c r="G60" s="11" t="s">
        <v>45</v>
      </c>
      <c r="H60" s="11" t="s">
        <v>46</v>
      </c>
      <c r="I60" s="17">
        <v>1</v>
      </c>
      <c r="J60" s="17">
        <v>149.99</v>
      </c>
      <c r="K60" s="11" t="s">
        <v>34</v>
      </c>
      <c r="L60" s="11" t="s">
        <v>63</v>
      </c>
      <c r="M60" s="11" t="s">
        <v>22</v>
      </c>
      <c r="N60" s="18">
        <v>44851</v>
      </c>
      <c r="O60" s="19">
        <v>149.99</v>
      </c>
      <c r="P60" s="3">
        <f t="shared" ca="1" si="0"/>
        <v>125</v>
      </c>
      <c r="Q60" s="3" t="str">
        <f t="shared" si="1"/>
        <v>Normal</v>
      </c>
      <c r="R60" s="3">
        <f t="shared" si="2"/>
        <v>35</v>
      </c>
      <c r="T60" s="21" t="str">
        <f t="shared" si="4"/>
        <v>HR</v>
      </c>
    </row>
    <row r="61" spans="1:20">
      <c r="A61" s="11" t="s">
        <v>178</v>
      </c>
      <c r="B61" s="18">
        <v>45474</v>
      </c>
      <c r="C61" s="18" t="str">
        <f t="shared" si="3"/>
        <v>July</v>
      </c>
      <c r="D61" s="11" t="s">
        <v>132</v>
      </c>
      <c r="E61" s="11" t="s">
        <v>133</v>
      </c>
      <c r="F61" s="11" t="s">
        <v>117</v>
      </c>
      <c r="G61" s="11" t="s">
        <v>118</v>
      </c>
      <c r="H61" s="11" t="s">
        <v>19</v>
      </c>
      <c r="I61" s="17">
        <v>2</v>
      </c>
      <c r="J61" s="17">
        <v>89.99</v>
      </c>
      <c r="K61" s="11" t="s">
        <v>34</v>
      </c>
      <c r="L61" s="11" t="s">
        <v>21</v>
      </c>
      <c r="M61" s="11" t="s">
        <v>27</v>
      </c>
      <c r="N61" s="18">
        <v>45275</v>
      </c>
      <c r="O61" s="19">
        <v>179.98</v>
      </c>
      <c r="P61" s="3">
        <f t="shared" ca="1" si="0"/>
        <v>125</v>
      </c>
      <c r="Q61" s="3" t="str">
        <f t="shared" si="1"/>
        <v>Normal</v>
      </c>
      <c r="R61" s="3">
        <f t="shared" si="2"/>
        <v>34</v>
      </c>
      <c r="T61" s="21" t="str">
        <f t="shared" si="4"/>
        <v>EW</v>
      </c>
    </row>
    <row r="62" spans="1:20">
      <c r="A62" s="11" t="s">
        <v>179</v>
      </c>
      <c r="B62" s="18">
        <v>45475</v>
      </c>
      <c r="C62" s="18" t="str">
        <f t="shared" si="3"/>
        <v>July</v>
      </c>
      <c r="D62" s="11" t="s">
        <v>55</v>
      </c>
      <c r="E62" s="11" t="s">
        <v>56</v>
      </c>
      <c r="F62" s="11" t="s">
        <v>117</v>
      </c>
      <c r="G62" s="11" t="s">
        <v>118</v>
      </c>
      <c r="H62" s="11" t="s">
        <v>19</v>
      </c>
      <c r="I62" s="17">
        <v>1</v>
      </c>
      <c r="J62" s="17">
        <v>89.99</v>
      </c>
      <c r="K62" s="11" t="s">
        <v>34</v>
      </c>
      <c r="L62" s="11" t="s">
        <v>50</v>
      </c>
      <c r="M62" s="11" t="s">
        <v>36</v>
      </c>
      <c r="N62" s="18">
        <v>44802</v>
      </c>
      <c r="O62" s="19">
        <v>89.99</v>
      </c>
      <c r="P62" s="3">
        <f t="shared" ca="1" si="0"/>
        <v>126</v>
      </c>
      <c r="Q62" s="3" t="str">
        <f t="shared" si="1"/>
        <v>Normal</v>
      </c>
      <c r="R62" s="3">
        <f t="shared" si="2"/>
        <v>34</v>
      </c>
      <c r="T62" s="21" t="str">
        <f t="shared" si="4"/>
        <v>CA</v>
      </c>
    </row>
    <row r="63" spans="1:20">
      <c r="A63" s="11" t="s">
        <v>180</v>
      </c>
      <c r="B63" s="18">
        <v>45476</v>
      </c>
      <c r="C63" s="18" t="str">
        <f t="shared" si="3"/>
        <v>July</v>
      </c>
      <c r="D63" s="11" t="s">
        <v>68</v>
      </c>
      <c r="E63" s="11" t="s">
        <v>69</v>
      </c>
      <c r="F63" s="11" t="s">
        <v>117</v>
      </c>
      <c r="G63" s="11" t="s">
        <v>118</v>
      </c>
      <c r="H63" s="11" t="s">
        <v>19</v>
      </c>
      <c r="I63" s="17">
        <v>1</v>
      </c>
      <c r="J63" s="17">
        <v>89.99</v>
      </c>
      <c r="K63" s="11" t="s">
        <v>20</v>
      </c>
      <c r="L63" s="11" t="s">
        <v>35</v>
      </c>
      <c r="M63" s="11" t="s">
        <v>36</v>
      </c>
      <c r="N63" s="18">
        <v>44611</v>
      </c>
      <c r="O63" s="19">
        <v>89.99</v>
      </c>
      <c r="P63" s="3">
        <f t="shared" ca="1" si="0"/>
        <v>126</v>
      </c>
      <c r="Q63" s="3" t="str">
        <f t="shared" si="1"/>
        <v>Normal</v>
      </c>
      <c r="R63" s="3">
        <f t="shared" si="2"/>
        <v>34</v>
      </c>
      <c r="T63" s="21" t="str">
        <f t="shared" si="4"/>
        <v>SG</v>
      </c>
    </row>
    <row r="64" spans="1:20" ht="31.5">
      <c r="A64" s="11" t="s">
        <v>181</v>
      </c>
      <c r="B64" s="18">
        <v>45476</v>
      </c>
      <c r="C64" s="18" t="str">
        <f t="shared" si="3"/>
        <v>July</v>
      </c>
      <c r="D64" s="11" t="s">
        <v>182</v>
      </c>
      <c r="E64" s="11" t="s">
        <v>183</v>
      </c>
      <c r="F64" s="11" t="s">
        <v>114</v>
      </c>
      <c r="G64" s="11" t="s">
        <v>115</v>
      </c>
      <c r="H64" s="11" t="s">
        <v>33</v>
      </c>
      <c r="I64" s="17">
        <v>5</v>
      </c>
      <c r="J64" s="17">
        <v>79.989999999999995</v>
      </c>
      <c r="K64" s="11" t="s">
        <v>57</v>
      </c>
      <c r="L64" s="11" t="s">
        <v>21</v>
      </c>
      <c r="M64" s="11" t="s">
        <v>22</v>
      </c>
      <c r="N64" s="18">
        <v>44981</v>
      </c>
      <c r="O64" s="19">
        <v>399.95</v>
      </c>
      <c r="P64" s="3">
        <f t="shared" ca="1" si="0"/>
        <v>125</v>
      </c>
      <c r="Q64" s="3" t="str">
        <f t="shared" si="1"/>
        <v>Normal</v>
      </c>
      <c r="R64" s="3">
        <f t="shared" si="2"/>
        <v>14</v>
      </c>
      <c r="T64" s="21" t="str">
        <f t="shared" si="4"/>
        <v>DM</v>
      </c>
    </row>
    <row r="65" spans="1:20" ht="31.5">
      <c r="A65" s="11" t="s">
        <v>184</v>
      </c>
      <c r="B65" s="18">
        <v>45481</v>
      </c>
      <c r="C65" s="18" t="str">
        <f t="shared" si="3"/>
        <v>July</v>
      </c>
      <c r="D65" s="11" t="s">
        <v>185</v>
      </c>
      <c r="E65" s="11" t="s">
        <v>186</v>
      </c>
      <c r="F65" s="11" t="s">
        <v>44</v>
      </c>
      <c r="G65" s="11" t="s">
        <v>45</v>
      </c>
      <c r="H65" s="11" t="s">
        <v>46</v>
      </c>
      <c r="I65" s="17">
        <v>1</v>
      </c>
      <c r="J65" s="17">
        <v>149.99</v>
      </c>
      <c r="K65" s="11" t="s">
        <v>34</v>
      </c>
      <c r="L65" s="11" t="s">
        <v>40</v>
      </c>
      <c r="M65" s="11" t="s">
        <v>22</v>
      </c>
      <c r="N65" s="18">
        <v>44421</v>
      </c>
      <c r="O65" s="19">
        <v>149.99</v>
      </c>
      <c r="P65" s="3">
        <f t="shared" ca="1" si="0"/>
        <v>125</v>
      </c>
      <c r="Q65" s="3" t="str">
        <f t="shared" si="1"/>
        <v>Normal</v>
      </c>
      <c r="R65" s="3">
        <f t="shared" si="2"/>
        <v>35</v>
      </c>
      <c r="T65" s="21" t="str">
        <f t="shared" si="4"/>
        <v>MW</v>
      </c>
    </row>
    <row r="66" spans="1:20" ht="31.5">
      <c r="A66" s="11" t="s">
        <v>187</v>
      </c>
      <c r="B66" s="18">
        <v>45481</v>
      </c>
      <c r="C66" s="18" t="str">
        <f t="shared" si="3"/>
        <v>July</v>
      </c>
      <c r="D66" s="11" t="s">
        <v>42</v>
      </c>
      <c r="E66" s="11" t="s">
        <v>43</v>
      </c>
      <c r="F66" s="11" t="s">
        <v>80</v>
      </c>
      <c r="G66" s="11" t="s">
        <v>81</v>
      </c>
      <c r="H66" s="11" t="s">
        <v>19</v>
      </c>
      <c r="I66" s="17">
        <v>0</v>
      </c>
      <c r="J66" s="17">
        <v>699.99</v>
      </c>
      <c r="K66" s="11" t="s">
        <v>34</v>
      </c>
      <c r="L66" s="11" t="s">
        <v>63</v>
      </c>
      <c r="M66" s="11" t="s">
        <v>27</v>
      </c>
      <c r="N66" s="18">
        <v>45389</v>
      </c>
      <c r="O66" s="19">
        <v>1399.98</v>
      </c>
      <c r="P66" s="3">
        <f t="shared" ref="P66:P129" ca="1" si="5">DATEDIF(O66,TODAY(),"Y")</f>
        <v>122</v>
      </c>
      <c r="Q66" s="3" t="str">
        <f t="shared" ref="Q66:Q129" si="6">IF(O66&gt;2000,"High Value","Normal")</f>
        <v>Normal</v>
      </c>
      <c r="R66" s="3">
        <f t="shared" ref="R66:R129" si="7">COUNTIF(G:G,G66)</f>
        <v>31</v>
      </c>
      <c r="T66" s="21" t="str">
        <f t="shared" si="4"/>
        <v>MB</v>
      </c>
    </row>
    <row r="67" spans="1:20">
      <c r="A67" s="11" t="s">
        <v>188</v>
      </c>
      <c r="B67" s="18">
        <v>45481</v>
      </c>
      <c r="C67" s="18" t="str">
        <f t="shared" ref="C67:C130" si="8">TEXT(B67,"mmmm")</f>
        <v>July</v>
      </c>
      <c r="D67" s="11" t="s">
        <v>96</v>
      </c>
      <c r="E67" s="11" t="s">
        <v>97</v>
      </c>
      <c r="F67" s="11" t="s">
        <v>117</v>
      </c>
      <c r="G67" s="11" t="s">
        <v>118</v>
      </c>
      <c r="H67" s="11" t="s">
        <v>19</v>
      </c>
      <c r="I67" s="17">
        <v>0</v>
      </c>
      <c r="J67" s="17">
        <v>89.99</v>
      </c>
      <c r="K67" s="11" t="s">
        <v>57</v>
      </c>
      <c r="L67" s="11" t="s">
        <v>40</v>
      </c>
      <c r="M67" s="11" t="s">
        <v>27</v>
      </c>
      <c r="N67" s="18">
        <v>45161</v>
      </c>
      <c r="O67" s="19">
        <v>449.95</v>
      </c>
      <c r="P67" s="3">
        <f t="shared" ca="1" si="5"/>
        <v>125</v>
      </c>
      <c r="Q67" s="3" t="str">
        <f t="shared" si="6"/>
        <v>Normal</v>
      </c>
      <c r="R67" s="3">
        <f t="shared" si="7"/>
        <v>34</v>
      </c>
      <c r="T67" s="21" t="str">
        <f t="shared" ref="T67:T130" si="9">LEFT(E67,1)&amp;MID(E67,FIND(" ",E67)+1,1)</f>
        <v>BY</v>
      </c>
    </row>
    <row r="68" spans="1:20">
      <c r="A68" s="11" t="s">
        <v>189</v>
      </c>
      <c r="B68" s="18">
        <v>45482</v>
      </c>
      <c r="C68" s="18" t="str">
        <f t="shared" si="8"/>
        <v>July</v>
      </c>
      <c r="D68" s="11" t="s">
        <v>171</v>
      </c>
      <c r="E68" s="11" t="s">
        <v>172</v>
      </c>
      <c r="F68" s="11" t="s">
        <v>31</v>
      </c>
      <c r="G68" s="11" t="s">
        <v>32</v>
      </c>
      <c r="H68" s="11" t="s">
        <v>33</v>
      </c>
      <c r="I68" s="17">
        <v>4</v>
      </c>
      <c r="J68" s="17">
        <v>59.99</v>
      </c>
      <c r="K68" s="11" t="s">
        <v>20</v>
      </c>
      <c r="L68" s="11" t="s">
        <v>35</v>
      </c>
      <c r="M68" s="11" t="s">
        <v>36</v>
      </c>
      <c r="N68" s="18">
        <v>44509</v>
      </c>
      <c r="O68" s="19">
        <v>239.96</v>
      </c>
      <c r="P68" s="3">
        <f t="shared" ca="1" si="5"/>
        <v>125</v>
      </c>
      <c r="Q68" s="3" t="str">
        <f t="shared" si="6"/>
        <v>Normal</v>
      </c>
      <c r="R68" s="3">
        <f t="shared" si="7"/>
        <v>29</v>
      </c>
      <c r="T68" s="21" t="str">
        <f t="shared" si="9"/>
        <v>RR</v>
      </c>
    </row>
    <row r="69" spans="1:20" ht="31.5">
      <c r="A69" s="11" t="s">
        <v>190</v>
      </c>
      <c r="B69" s="18">
        <v>45484</v>
      </c>
      <c r="C69" s="18" t="str">
        <f t="shared" si="8"/>
        <v>July</v>
      </c>
      <c r="D69" s="11" t="s">
        <v>24</v>
      </c>
      <c r="E69" s="11" t="s">
        <v>25</v>
      </c>
      <c r="F69" s="11" t="s">
        <v>52</v>
      </c>
      <c r="G69" s="11" t="s">
        <v>53</v>
      </c>
      <c r="H69" s="11" t="s">
        <v>19</v>
      </c>
      <c r="I69" s="17">
        <v>1</v>
      </c>
      <c r="J69" s="17">
        <v>149.99</v>
      </c>
      <c r="K69" s="11" t="s">
        <v>20</v>
      </c>
      <c r="L69" s="11" t="s">
        <v>21</v>
      </c>
      <c r="M69" s="11" t="s">
        <v>36</v>
      </c>
      <c r="N69" s="18">
        <v>44909</v>
      </c>
      <c r="O69" s="19">
        <v>149.99</v>
      </c>
      <c r="P69" s="3">
        <f t="shared" ca="1" si="5"/>
        <v>125</v>
      </c>
      <c r="Q69" s="3" t="str">
        <f t="shared" si="6"/>
        <v>Normal</v>
      </c>
      <c r="R69" s="3">
        <f t="shared" si="7"/>
        <v>16</v>
      </c>
      <c r="T69" s="21" t="str">
        <f t="shared" si="9"/>
        <v>JJ</v>
      </c>
    </row>
    <row r="70" spans="1:20">
      <c r="A70" s="11" t="s">
        <v>191</v>
      </c>
      <c r="B70" s="18">
        <v>45484</v>
      </c>
      <c r="C70" s="18" t="str">
        <f t="shared" si="8"/>
        <v>July</v>
      </c>
      <c r="D70" s="11" t="s">
        <v>192</v>
      </c>
      <c r="E70" s="11" t="s">
        <v>193</v>
      </c>
      <c r="F70" s="11" t="s">
        <v>105</v>
      </c>
      <c r="G70" s="11" t="s">
        <v>106</v>
      </c>
      <c r="H70" s="11" t="s">
        <v>46</v>
      </c>
      <c r="I70" s="17">
        <v>1</v>
      </c>
      <c r="J70" s="17">
        <v>299.99</v>
      </c>
      <c r="K70" s="11" t="s">
        <v>26</v>
      </c>
      <c r="L70" s="11" t="s">
        <v>40</v>
      </c>
      <c r="M70" s="11" t="s">
        <v>27</v>
      </c>
      <c r="N70" s="18">
        <v>44891</v>
      </c>
      <c r="O70" s="19">
        <v>299.99</v>
      </c>
      <c r="P70" s="3">
        <f t="shared" ca="1" si="5"/>
        <v>125</v>
      </c>
      <c r="Q70" s="3" t="str">
        <f t="shared" si="6"/>
        <v>Normal</v>
      </c>
      <c r="R70" s="3">
        <f t="shared" si="7"/>
        <v>26</v>
      </c>
      <c r="T70" s="21" t="str">
        <f t="shared" si="9"/>
        <v>FT</v>
      </c>
    </row>
    <row r="71" spans="1:20">
      <c r="A71" s="11" t="s">
        <v>194</v>
      </c>
      <c r="B71" s="18">
        <v>45487</v>
      </c>
      <c r="C71" s="18" t="str">
        <f t="shared" si="8"/>
        <v>July</v>
      </c>
      <c r="D71" s="11" t="s">
        <v>192</v>
      </c>
      <c r="E71" s="11" t="s">
        <v>193</v>
      </c>
      <c r="F71" s="11" t="s">
        <v>126</v>
      </c>
      <c r="G71" s="11" t="s">
        <v>127</v>
      </c>
      <c r="H71" s="11" t="s">
        <v>46</v>
      </c>
      <c r="I71" s="17">
        <v>2</v>
      </c>
      <c r="J71" s="17">
        <v>199.99</v>
      </c>
      <c r="K71" s="11" t="s">
        <v>20</v>
      </c>
      <c r="L71" s="11" t="s">
        <v>40</v>
      </c>
      <c r="M71" s="11" t="s">
        <v>22</v>
      </c>
      <c r="N71" s="18">
        <v>44541</v>
      </c>
      <c r="O71" s="19">
        <v>399.98</v>
      </c>
      <c r="P71" s="3">
        <f t="shared" ca="1" si="5"/>
        <v>125</v>
      </c>
      <c r="Q71" s="3" t="str">
        <f t="shared" si="6"/>
        <v>Normal</v>
      </c>
      <c r="R71" s="3">
        <f t="shared" si="7"/>
        <v>15</v>
      </c>
      <c r="T71" s="21" t="str">
        <f t="shared" si="9"/>
        <v>FT</v>
      </c>
    </row>
    <row r="72" spans="1:20" ht="31.5">
      <c r="A72" s="11" t="s">
        <v>195</v>
      </c>
      <c r="B72" s="18">
        <v>45490</v>
      </c>
      <c r="C72" s="18" t="str">
        <f t="shared" si="8"/>
        <v>July</v>
      </c>
      <c r="D72" s="11" t="s">
        <v>196</v>
      </c>
      <c r="E72" s="11" t="s">
        <v>197</v>
      </c>
      <c r="F72" s="11" t="s">
        <v>31</v>
      </c>
      <c r="G72" s="11" t="s">
        <v>32</v>
      </c>
      <c r="H72" s="11" t="s">
        <v>33</v>
      </c>
      <c r="I72" s="17">
        <v>3</v>
      </c>
      <c r="J72" s="17">
        <v>59.99</v>
      </c>
      <c r="K72" s="11" t="s">
        <v>26</v>
      </c>
      <c r="L72" s="11" t="s">
        <v>50</v>
      </c>
      <c r="M72" s="11" t="s">
        <v>22</v>
      </c>
      <c r="N72" s="18">
        <v>45130</v>
      </c>
      <c r="O72" s="19">
        <v>179.97</v>
      </c>
      <c r="P72" s="3">
        <f t="shared" ca="1" si="5"/>
        <v>125</v>
      </c>
      <c r="Q72" s="3" t="str">
        <f t="shared" si="6"/>
        <v>Normal</v>
      </c>
      <c r="R72" s="3">
        <f t="shared" si="7"/>
        <v>29</v>
      </c>
      <c r="T72" s="21" t="str">
        <f t="shared" si="9"/>
        <v>GM</v>
      </c>
    </row>
    <row r="73" spans="1:20" ht="31.5">
      <c r="A73" s="11" t="s">
        <v>198</v>
      </c>
      <c r="B73" s="18">
        <v>45490</v>
      </c>
      <c r="C73" s="18" t="str">
        <f t="shared" si="8"/>
        <v>July</v>
      </c>
      <c r="D73" s="11" t="s">
        <v>72</v>
      </c>
      <c r="E73" s="11" t="s">
        <v>73</v>
      </c>
      <c r="F73" s="11" t="s">
        <v>44</v>
      </c>
      <c r="G73" s="11" t="s">
        <v>45</v>
      </c>
      <c r="H73" s="11" t="s">
        <v>46</v>
      </c>
      <c r="I73" s="17">
        <v>3</v>
      </c>
      <c r="J73" s="17">
        <v>149.99</v>
      </c>
      <c r="K73" s="11" t="s">
        <v>20</v>
      </c>
      <c r="L73" s="11" t="s">
        <v>21</v>
      </c>
      <c r="M73" s="11" t="s">
        <v>27</v>
      </c>
      <c r="N73" s="18">
        <v>45199</v>
      </c>
      <c r="O73" s="19">
        <v>449.97</v>
      </c>
      <c r="P73" s="3">
        <f t="shared" ca="1" si="5"/>
        <v>125</v>
      </c>
      <c r="Q73" s="3" t="str">
        <f t="shared" si="6"/>
        <v>Normal</v>
      </c>
      <c r="R73" s="3">
        <f t="shared" si="7"/>
        <v>35</v>
      </c>
      <c r="T73" s="21" t="str">
        <f t="shared" si="9"/>
        <v>PR</v>
      </c>
    </row>
    <row r="74" spans="1:20">
      <c r="A74" s="11" t="s">
        <v>199</v>
      </c>
      <c r="B74" s="18">
        <v>45491</v>
      </c>
      <c r="C74" s="18" t="str">
        <f t="shared" si="8"/>
        <v>July</v>
      </c>
      <c r="D74" s="11" t="s">
        <v>65</v>
      </c>
      <c r="E74" s="11" t="s">
        <v>66</v>
      </c>
      <c r="F74" s="11" t="s">
        <v>126</v>
      </c>
      <c r="G74" s="11" t="s">
        <v>127</v>
      </c>
      <c r="H74" s="11" t="s">
        <v>46</v>
      </c>
      <c r="I74" s="17">
        <v>3</v>
      </c>
      <c r="J74" s="17">
        <v>199.99</v>
      </c>
      <c r="K74" s="11" t="s">
        <v>20</v>
      </c>
      <c r="L74" s="11" t="s">
        <v>40</v>
      </c>
      <c r="M74" s="11" t="s">
        <v>27</v>
      </c>
      <c r="N74" s="18">
        <v>45254</v>
      </c>
      <c r="O74" s="19">
        <v>599.97</v>
      </c>
      <c r="P74" s="3">
        <f t="shared" ca="1" si="5"/>
        <v>124</v>
      </c>
      <c r="Q74" s="3" t="str">
        <f t="shared" si="6"/>
        <v>Normal</v>
      </c>
      <c r="R74" s="3">
        <f t="shared" si="7"/>
        <v>15</v>
      </c>
      <c r="T74" s="21" t="str">
        <f t="shared" si="9"/>
        <v>KH</v>
      </c>
    </row>
    <row r="75" spans="1:20">
      <c r="A75" s="11" t="s">
        <v>200</v>
      </c>
      <c r="B75" s="18">
        <v>45496</v>
      </c>
      <c r="C75" s="18" t="str">
        <f t="shared" si="8"/>
        <v>July</v>
      </c>
      <c r="D75" s="11" t="s">
        <v>150</v>
      </c>
      <c r="E75" s="11" t="s">
        <v>151</v>
      </c>
      <c r="F75" s="11" t="s">
        <v>61</v>
      </c>
      <c r="G75" s="11" t="s">
        <v>62</v>
      </c>
      <c r="H75" s="11" t="s">
        <v>19</v>
      </c>
      <c r="I75" s="17" t="s">
        <v>444</v>
      </c>
      <c r="J75" s="17">
        <v>899.99</v>
      </c>
      <c r="K75" s="11" t="s">
        <v>20</v>
      </c>
      <c r="L75" s="11" t="s">
        <v>21</v>
      </c>
      <c r="M75" s="11" t="s">
        <v>36</v>
      </c>
      <c r="N75" s="18">
        <v>45179</v>
      </c>
      <c r="O75" s="19">
        <v>899.99</v>
      </c>
      <c r="P75" s="3">
        <f t="shared" ca="1" si="5"/>
        <v>123</v>
      </c>
      <c r="Q75" s="3" t="str">
        <f t="shared" si="6"/>
        <v>Normal</v>
      </c>
      <c r="R75" s="3">
        <f t="shared" si="7"/>
        <v>24</v>
      </c>
      <c r="T75" s="21" t="str">
        <f t="shared" si="9"/>
        <v>SB</v>
      </c>
    </row>
    <row r="76" spans="1:20" ht="31.5">
      <c r="A76" s="11" t="s">
        <v>201</v>
      </c>
      <c r="B76" s="18">
        <v>45497</v>
      </c>
      <c r="C76" s="18" t="str">
        <f t="shared" si="8"/>
        <v>July</v>
      </c>
      <c r="D76" s="11" t="s">
        <v>24</v>
      </c>
      <c r="E76" s="11" t="s">
        <v>25</v>
      </c>
      <c r="F76" s="11" t="s">
        <v>61</v>
      </c>
      <c r="G76" s="11" t="s">
        <v>62</v>
      </c>
      <c r="H76" s="11" t="s">
        <v>19</v>
      </c>
      <c r="I76" s="17">
        <v>5</v>
      </c>
      <c r="J76" s="17">
        <v>899.99</v>
      </c>
      <c r="K76" s="11" t="s">
        <v>57</v>
      </c>
      <c r="L76" s="11" t="s">
        <v>35</v>
      </c>
      <c r="M76" s="11" t="s">
        <v>36</v>
      </c>
      <c r="N76" s="18">
        <v>44899</v>
      </c>
      <c r="O76" s="19">
        <v>4499.95</v>
      </c>
      <c r="P76" s="3">
        <f t="shared" ca="1" si="5"/>
        <v>114</v>
      </c>
      <c r="Q76" s="3" t="str">
        <f t="shared" si="6"/>
        <v>High Value</v>
      </c>
      <c r="R76" s="3">
        <f t="shared" si="7"/>
        <v>24</v>
      </c>
      <c r="T76" s="21" t="str">
        <f t="shared" si="9"/>
        <v>JJ</v>
      </c>
    </row>
    <row r="77" spans="1:20" ht="31.5">
      <c r="A77" s="11" t="s">
        <v>202</v>
      </c>
      <c r="B77" s="18">
        <v>45498</v>
      </c>
      <c r="C77" s="18" t="str">
        <f t="shared" si="8"/>
        <v>July</v>
      </c>
      <c r="D77" s="11" t="s">
        <v>182</v>
      </c>
      <c r="E77" s="11" t="s">
        <v>183</v>
      </c>
      <c r="F77" s="11" t="s">
        <v>31</v>
      </c>
      <c r="G77" s="11" t="s">
        <v>32</v>
      </c>
      <c r="H77" s="11" t="s">
        <v>33</v>
      </c>
      <c r="I77" s="17">
        <v>2</v>
      </c>
      <c r="J77" s="17">
        <v>59.99</v>
      </c>
      <c r="K77" s="11" t="s">
        <v>20</v>
      </c>
      <c r="L77" s="11" t="s">
        <v>40</v>
      </c>
      <c r="M77" s="11" t="s">
        <v>36</v>
      </c>
      <c r="N77" s="18">
        <v>45152</v>
      </c>
      <c r="O77" s="19">
        <v>119.98</v>
      </c>
      <c r="P77" s="3">
        <f t="shared" ca="1" si="5"/>
        <v>126</v>
      </c>
      <c r="Q77" s="3" t="str">
        <f t="shared" si="6"/>
        <v>Normal</v>
      </c>
      <c r="R77" s="3">
        <f t="shared" si="7"/>
        <v>29</v>
      </c>
      <c r="T77" s="21" t="str">
        <f t="shared" si="9"/>
        <v>DM</v>
      </c>
    </row>
    <row r="78" spans="1:20" ht="31.5">
      <c r="A78" s="11" t="s">
        <v>203</v>
      </c>
      <c r="B78" s="18">
        <v>45498</v>
      </c>
      <c r="C78" s="18" t="str">
        <f t="shared" si="8"/>
        <v>July</v>
      </c>
      <c r="D78" s="11" t="s">
        <v>196</v>
      </c>
      <c r="E78" s="11" t="s">
        <v>197</v>
      </c>
      <c r="F78" s="11" t="s">
        <v>17</v>
      </c>
      <c r="G78" s="11" t="s">
        <v>18</v>
      </c>
      <c r="H78" s="11" t="s">
        <v>19</v>
      </c>
      <c r="I78" s="17">
        <v>4</v>
      </c>
      <c r="J78" s="17">
        <v>249.99</v>
      </c>
      <c r="K78" s="11" t="s">
        <v>57</v>
      </c>
      <c r="L78" s="11" t="s">
        <v>21</v>
      </c>
      <c r="M78" s="11" t="s">
        <v>36</v>
      </c>
      <c r="N78" s="18">
        <v>45127</v>
      </c>
      <c r="O78" s="19">
        <v>999.96</v>
      </c>
      <c r="P78" s="3">
        <f t="shared" ca="1" si="5"/>
        <v>123</v>
      </c>
      <c r="Q78" s="3" t="str">
        <f t="shared" si="6"/>
        <v>Normal</v>
      </c>
      <c r="R78" s="3">
        <f t="shared" si="7"/>
        <v>26</v>
      </c>
      <c r="T78" s="21" t="str">
        <f t="shared" si="9"/>
        <v>GM</v>
      </c>
    </row>
    <row r="79" spans="1:20">
      <c r="A79" s="11" t="s">
        <v>204</v>
      </c>
      <c r="B79" s="18">
        <v>45500</v>
      </c>
      <c r="C79" s="18" t="str">
        <f t="shared" si="8"/>
        <v>July</v>
      </c>
      <c r="D79" s="11" t="s">
        <v>96</v>
      </c>
      <c r="E79" s="11" t="s">
        <v>97</v>
      </c>
      <c r="F79" s="11" t="s">
        <v>17</v>
      </c>
      <c r="G79" s="11" t="s">
        <v>18</v>
      </c>
      <c r="H79" s="11" t="s">
        <v>19</v>
      </c>
      <c r="I79" s="17">
        <v>2</v>
      </c>
      <c r="J79" s="17">
        <v>249.99</v>
      </c>
      <c r="K79" s="11" t="s">
        <v>20</v>
      </c>
      <c r="L79" s="11" t="s">
        <v>40</v>
      </c>
      <c r="M79" s="11" t="s">
        <v>27</v>
      </c>
      <c r="N79" s="18">
        <v>45164</v>
      </c>
      <c r="O79" s="19">
        <v>499.98</v>
      </c>
      <c r="P79" s="3">
        <f t="shared" ca="1" si="5"/>
        <v>124</v>
      </c>
      <c r="Q79" s="3" t="str">
        <f t="shared" si="6"/>
        <v>Normal</v>
      </c>
      <c r="R79" s="3">
        <f t="shared" si="7"/>
        <v>26</v>
      </c>
      <c r="T79" s="21" t="str">
        <f t="shared" si="9"/>
        <v>BY</v>
      </c>
    </row>
    <row r="80" spans="1:20">
      <c r="A80" s="11" t="s">
        <v>205</v>
      </c>
      <c r="B80" s="18">
        <v>45500</v>
      </c>
      <c r="C80" s="18" t="str">
        <f t="shared" si="8"/>
        <v>July</v>
      </c>
      <c r="D80" s="11" t="s">
        <v>147</v>
      </c>
      <c r="E80" s="11" t="s">
        <v>148</v>
      </c>
      <c r="F80" s="11" t="s">
        <v>105</v>
      </c>
      <c r="G80" s="11" t="s">
        <v>106</v>
      </c>
      <c r="H80" s="11" t="s">
        <v>46</v>
      </c>
      <c r="I80" s="17">
        <v>1</v>
      </c>
      <c r="J80" s="17">
        <v>299.99</v>
      </c>
      <c r="K80" s="11" t="s">
        <v>20</v>
      </c>
      <c r="L80" s="11" t="s">
        <v>35</v>
      </c>
      <c r="M80" s="11" t="s">
        <v>22</v>
      </c>
      <c r="N80" s="18">
        <v>44982</v>
      </c>
      <c r="O80" s="19">
        <v>299.99</v>
      </c>
      <c r="P80" s="3">
        <f t="shared" ca="1" si="5"/>
        <v>125</v>
      </c>
      <c r="Q80" s="3" t="str">
        <f t="shared" si="6"/>
        <v>Normal</v>
      </c>
      <c r="R80" s="3">
        <f t="shared" si="7"/>
        <v>26</v>
      </c>
      <c r="T80" s="21" t="str">
        <f t="shared" si="9"/>
        <v>DK</v>
      </c>
    </row>
    <row r="81" spans="1:20">
      <c r="A81" s="11" t="s">
        <v>206</v>
      </c>
      <c r="B81" s="18">
        <v>45501</v>
      </c>
      <c r="C81" s="18" t="str">
        <f t="shared" si="8"/>
        <v>July</v>
      </c>
      <c r="D81" s="11" t="s">
        <v>86</v>
      </c>
      <c r="E81" s="11" t="s">
        <v>87</v>
      </c>
      <c r="F81" s="11" t="s">
        <v>117</v>
      </c>
      <c r="G81" s="11" t="s">
        <v>118</v>
      </c>
      <c r="H81" s="11" t="s">
        <v>19</v>
      </c>
      <c r="I81" s="17">
        <v>2</v>
      </c>
      <c r="J81" s="17">
        <v>89.99</v>
      </c>
      <c r="K81" s="11" t="s">
        <v>34</v>
      </c>
      <c r="L81" s="11" t="s">
        <v>35</v>
      </c>
      <c r="M81" s="11" t="s">
        <v>22</v>
      </c>
      <c r="N81" s="18">
        <v>44976</v>
      </c>
      <c r="O81" s="19">
        <v>179.98</v>
      </c>
      <c r="P81" s="3">
        <f t="shared" ca="1" si="5"/>
        <v>125</v>
      </c>
      <c r="Q81" s="3" t="str">
        <f t="shared" si="6"/>
        <v>Normal</v>
      </c>
      <c r="R81" s="3">
        <f t="shared" si="7"/>
        <v>34</v>
      </c>
      <c r="T81" s="21" t="str">
        <f t="shared" si="9"/>
        <v>MC</v>
      </c>
    </row>
    <row r="82" spans="1:20">
      <c r="A82" s="11" t="s">
        <v>207</v>
      </c>
      <c r="B82" s="18">
        <v>45501</v>
      </c>
      <c r="C82" s="18" t="str">
        <f t="shared" si="8"/>
        <v>July</v>
      </c>
      <c r="D82" s="11" t="s">
        <v>147</v>
      </c>
      <c r="E82" s="11" t="s">
        <v>148</v>
      </c>
      <c r="F82" s="11" t="s">
        <v>105</v>
      </c>
      <c r="G82" s="11" t="s">
        <v>106</v>
      </c>
      <c r="H82" s="11" t="s">
        <v>46</v>
      </c>
      <c r="I82" s="17">
        <v>3</v>
      </c>
      <c r="J82" s="17">
        <v>299.99</v>
      </c>
      <c r="K82" s="11" t="s">
        <v>20</v>
      </c>
      <c r="L82" s="11" t="s">
        <v>21</v>
      </c>
      <c r="M82" s="11" t="s">
        <v>22</v>
      </c>
      <c r="N82" s="18">
        <v>44732</v>
      </c>
      <c r="O82" s="19">
        <v>899.97</v>
      </c>
      <c r="P82" s="3">
        <f t="shared" ca="1" si="5"/>
        <v>123</v>
      </c>
      <c r="Q82" s="3" t="str">
        <f t="shared" si="6"/>
        <v>Normal</v>
      </c>
      <c r="R82" s="3">
        <f t="shared" si="7"/>
        <v>26</v>
      </c>
      <c r="T82" s="21" t="str">
        <f t="shared" si="9"/>
        <v>DK</v>
      </c>
    </row>
    <row r="83" spans="1:20">
      <c r="A83" s="11" t="s">
        <v>208</v>
      </c>
      <c r="B83" s="18">
        <v>45503</v>
      </c>
      <c r="C83" s="18" t="str">
        <f t="shared" si="8"/>
        <v>July</v>
      </c>
      <c r="D83" s="11" t="s">
        <v>86</v>
      </c>
      <c r="E83" s="11" t="s">
        <v>87</v>
      </c>
      <c r="F83" s="11" t="s">
        <v>80</v>
      </c>
      <c r="G83" s="11" t="s">
        <v>81</v>
      </c>
      <c r="H83" s="11" t="s">
        <v>19</v>
      </c>
      <c r="I83" s="17">
        <v>2</v>
      </c>
      <c r="J83" s="17">
        <v>699.99</v>
      </c>
      <c r="K83" s="11" t="s">
        <v>26</v>
      </c>
      <c r="L83" s="11" t="s">
        <v>40</v>
      </c>
      <c r="M83" s="11" t="s">
        <v>27</v>
      </c>
      <c r="N83" s="18">
        <v>44999</v>
      </c>
      <c r="O83" s="19">
        <v>1399.98</v>
      </c>
      <c r="P83" s="3">
        <f t="shared" ca="1" si="5"/>
        <v>122</v>
      </c>
      <c r="Q83" s="3" t="str">
        <f t="shared" si="6"/>
        <v>Normal</v>
      </c>
      <c r="R83" s="3">
        <f t="shared" si="7"/>
        <v>31</v>
      </c>
      <c r="T83" s="21" t="str">
        <f t="shared" si="9"/>
        <v>MC</v>
      </c>
    </row>
    <row r="84" spans="1:20">
      <c r="A84" s="11" t="s">
        <v>209</v>
      </c>
      <c r="B84" s="18">
        <v>45504</v>
      </c>
      <c r="C84" s="18" t="str">
        <f t="shared" si="8"/>
        <v>July</v>
      </c>
      <c r="D84" s="11" t="s">
        <v>120</v>
      </c>
      <c r="E84" s="11" t="s">
        <v>121</v>
      </c>
      <c r="F84" s="11" t="s">
        <v>61</v>
      </c>
      <c r="G84" s="11" t="s">
        <v>62</v>
      </c>
      <c r="H84" s="11" t="s">
        <v>19</v>
      </c>
      <c r="I84" s="17">
        <v>4</v>
      </c>
      <c r="J84" s="17">
        <v>899.99</v>
      </c>
      <c r="K84" s="11" t="s">
        <v>57</v>
      </c>
      <c r="L84" s="11" t="s">
        <v>35</v>
      </c>
      <c r="M84" s="11" t="s">
        <v>36</v>
      </c>
      <c r="N84" s="18">
        <v>44523</v>
      </c>
      <c r="O84" s="19">
        <v>3599.96</v>
      </c>
      <c r="P84" s="3">
        <f t="shared" ca="1" si="5"/>
        <v>116</v>
      </c>
      <c r="Q84" s="3" t="str">
        <f t="shared" si="6"/>
        <v>High Value</v>
      </c>
      <c r="R84" s="3">
        <f t="shared" si="7"/>
        <v>24</v>
      </c>
      <c r="T84" s="21" t="str">
        <f t="shared" si="9"/>
        <v>HR</v>
      </c>
    </row>
    <row r="85" spans="1:20">
      <c r="A85" s="11" t="s">
        <v>210</v>
      </c>
      <c r="B85" s="18">
        <v>45509</v>
      </c>
      <c r="C85" s="18" t="str">
        <f t="shared" si="8"/>
        <v>August</v>
      </c>
      <c r="D85" s="11" t="s">
        <v>211</v>
      </c>
      <c r="E85" s="11" t="s">
        <v>212</v>
      </c>
      <c r="F85" s="11" t="s">
        <v>44</v>
      </c>
      <c r="G85" s="11" t="s">
        <v>45</v>
      </c>
      <c r="H85" s="11" t="s">
        <v>46</v>
      </c>
      <c r="I85" s="17">
        <v>2</v>
      </c>
      <c r="J85" s="17">
        <v>149.99</v>
      </c>
      <c r="K85" s="11" t="s">
        <v>26</v>
      </c>
      <c r="L85" s="11" t="s">
        <v>50</v>
      </c>
      <c r="M85" s="11" t="s">
        <v>22</v>
      </c>
      <c r="N85" s="18">
        <v>44542</v>
      </c>
      <c r="O85" s="19">
        <v>299.98</v>
      </c>
      <c r="P85" s="3">
        <f t="shared" ca="1" si="5"/>
        <v>125</v>
      </c>
      <c r="Q85" s="3" t="str">
        <f t="shared" si="6"/>
        <v>Normal</v>
      </c>
      <c r="R85" s="3">
        <f t="shared" si="7"/>
        <v>35</v>
      </c>
      <c r="T85" s="21" t="str">
        <f t="shared" si="9"/>
        <v>EH</v>
      </c>
    </row>
    <row r="86" spans="1:20">
      <c r="A86" s="11" t="s">
        <v>213</v>
      </c>
      <c r="B86" s="18">
        <v>45510</v>
      </c>
      <c r="C86" s="18" t="str">
        <f t="shared" si="8"/>
        <v>August</v>
      </c>
      <c r="D86" s="11" t="s">
        <v>102</v>
      </c>
      <c r="E86" s="11" t="s">
        <v>103</v>
      </c>
      <c r="F86" s="11" t="s">
        <v>44</v>
      </c>
      <c r="G86" s="11" t="s">
        <v>45</v>
      </c>
      <c r="H86" s="11" t="s">
        <v>46</v>
      </c>
      <c r="I86" s="17">
        <v>2</v>
      </c>
      <c r="J86" s="17">
        <v>149.99</v>
      </c>
      <c r="K86" s="11" t="s">
        <v>57</v>
      </c>
      <c r="L86" s="11" t="s">
        <v>63</v>
      </c>
      <c r="M86" s="11" t="s">
        <v>36</v>
      </c>
      <c r="N86" s="18">
        <v>44667</v>
      </c>
      <c r="O86" s="19">
        <v>299.98</v>
      </c>
      <c r="P86" s="3">
        <f t="shared" ca="1" si="5"/>
        <v>125</v>
      </c>
      <c r="Q86" s="3" t="str">
        <f t="shared" si="6"/>
        <v>Normal</v>
      </c>
      <c r="R86" s="3">
        <f t="shared" si="7"/>
        <v>35</v>
      </c>
      <c r="T86" s="21" t="str">
        <f t="shared" si="9"/>
        <v>CP</v>
      </c>
    </row>
    <row r="87" spans="1:20">
      <c r="A87" s="11" t="s">
        <v>214</v>
      </c>
      <c r="B87" s="18">
        <v>45513</v>
      </c>
      <c r="C87" s="18" t="str">
        <f t="shared" si="8"/>
        <v>August</v>
      </c>
      <c r="D87" s="11" t="s">
        <v>89</v>
      </c>
      <c r="E87" s="11" t="s">
        <v>90</v>
      </c>
      <c r="F87" s="11" t="s">
        <v>117</v>
      </c>
      <c r="G87" s="11" t="s">
        <v>118</v>
      </c>
      <c r="H87" s="11" t="s">
        <v>19</v>
      </c>
      <c r="I87" s="17">
        <v>1</v>
      </c>
      <c r="J87" s="17">
        <v>89.99</v>
      </c>
      <c r="K87" s="11" t="s">
        <v>26</v>
      </c>
      <c r="L87" s="11" t="s">
        <v>40</v>
      </c>
      <c r="M87" s="11" t="s">
        <v>36</v>
      </c>
      <c r="N87" s="18">
        <v>45393</v>
      </c>
      <c r="O87" s="19">
        <v>89.99</v>
      </c>
      <c r="P87" s="3">
        <f t="shared" ca="1" si="5"/>
        <v>126</v>
      </c>
      <c r="Q87" s="3" t="str">
        <f t="shared" si="6"/>
        <v>Normal</v>
      </c>
      <c r="R87" s="3">
        <f t="shared" si="7"/>
        <v>34</v>
      </c>
      <c r="T87" s="21" t="str">
        <f t="shared" si="9"/>
        <v>MG</v>
      </c>
    </row>
    <row r="88" spans="1:20">
      <c r="A88" s="11" t="s">
        <v>215</v>
      </c>
      <c r="B88" s="18">
        <v>45515</v>
      </c>
      <c r="C88" s="18" t="str">
        <f t="shared" si="8"/>
        <v>August</v>
      </c>
      <c r="D88" s="11" t="s">
        <v>86</v>
      </c>
      <c r="E88" s="11" t="s">
        <v>87</v>
      </c>
      <c r="F88" s="11" t="s">
        <v>105</v>
      </c>
      <c r="G88" s="11" t="s">
        <v>106</v>
      </c>
      <c r="H88" s="11" t="s">
        <v>46</v>
      </c>
      <c r="I88" s="17">
        <v>5</v>
      </c>
      <c r="J88" s="17">
        <v>299.99</v>
      </c>
      <c r="K88" s="11" t="s">
        <v>26</v>
      </c>
      <c r="L88" s="11" t="s">
        <v>40</v>
      </c>
      <c r="M88" s="11" t="s">
        <v>22</v>
      </c>
      <c r="N88" s="18">
        <v>44965</v>
      </c>
      <c r="O88" s="19">
        <v>1499.95</v>
      </c>
      <c r="P88" s="3">
        <f t="shared" ca="1" si="5"/>
        <v>122</v>
      </c>
      <c r="Q88" s="3" t="str">
        <f t="shared" si="6"/>
        <v>Normal</v>
      </c>
      <c r="R88" s="3">
        <f t="shared" si="7"/>
        <v>26</v>
      </c>
      <c r="T88" s="21" t="str">
        <f t="shared" si="9"/>
        <v>MC</v>
      </c>
    </row>
    <row r="89" spans="1:20" ht="31.5">
      <c r="A89" s="11" t="s">
        <v>216</v>
      </c>
      <c r="B89" s="18">
        <v>45517</v>
      </c>
      <c r="C89" s="18" t="str">
        <f t="shared" si="8"/>
        <v>August</v>
      </c>
      <c r="D89" s="11" t="s">
        <v>182</v>
      </c>
      <c r="E89" s="11" t="s">
        <v>183</v>
      </c>
      <c r="F89" s="11" t="s">
        <v>52</v>
      </c>
      <c r="G89" s="11" t="s">
        <v>53</v>
      </c>
      <c r="H89" s="11" t="s">
        <v>19</v>
      </c>
      <c r="I89" s="17">
        <v>4</v>
      </c>
      <c r="J89" s="17">
        <v>149.99</v>
      </c>
      <c r="K89" s="11" t="s">
        <v>57</v>
      </c>
      <c r="L89" s="11" t="s">
        <v>35</v>
      </c>
      <c r="M89" s="11" t="s">
        <v>27</v>
      </c>
      <c r="N89" s="18">
        <v>44820</v>
      </c>
      <c r="O89" s="19">
        <v>599.96</v>
      </c>
      <c r="P89" s="3">
        <f t="shared" ca="1" si="5"/>
        <v>124</v>
      </c>
      <c r="Q89" s="3" t="str">
        <f t="shared" si="6"/>
        <v>Normal</v>
      </c>
      <c r="R89" s="3">
        <f t="shared" si="7"/>
        <v>16</v>
      </c>
      <c r="T89" s="21" t="str">
        <f t="shared" si="9"/>
        <v>DM</v>
      </c>
    </row>
    <row r="90" spans="1:20" ht="31.5">
      <c r="A90" s="11" t="s">
        <v>217</v>
      </c>
      <c r="B90" s="18">
        <v>45517</v>
      </c>
      <c r="C90" s="18" t="str">
        <f t="shared" si="8"/>
        <v>August</v>
      </c>
      <c r="D90" s="11" t="s">
        <v>185</v>
      </c>
      <c r="E90" s="11" t="s">
        <v>186</v>
      </c>
      <c r="F90" s="11" t="s">
        <v>17</v>
      </c>
      <c r="G90" s="11" t="s">
        <v>18</v>
      </c>
      <c r="H90" s="11" t="s">
        <v>19</v>
      </c>
      <c r="I90" s="17">
        <v>5</v>
      </c>
      <c r="J90" s="17">
        <v>249.99</v>
      </c>
      <c r="K90" s="11" t="s">
        <v>34</v>
      </c>
      <c r="L90" s="11" t="s">
        <v>63</v>
      </c>
      <c r="M90" s="11" t="s">
        <v>27</v>
      </c>
      <c r="N90" s="18">
        <v>44782</v>
      </c>
      <c r="O90" s="19">
        <v>1249.95</v>
      </c>
      <c r="P90" s="3">
        <f t="shared" ca="1" si="5"/>
        <v>122</v>
      </c>
      <c r="Q90" s="3" t="str">
        <f t="shared" si="6"/>
        <v>Normal</v>
      </c>
      <c r="R90" s="3">
        <f t="shared" si="7"/>
        <v>26</v>
      </c>
      <c r="T90" s="21" t="str">
        <f t="shared" si="9"/>
        <v>MW</v>
      </c>
    </row>
    <row r="91" spans="1:20">
      <c r="A91" s="11" t="s">
        <v>218</v>
      </c>
      <c r="B91" s="18">
        <v>45517</v>
      </c>
      <c r="C91" s="18" t="str">
        <f t="shared" si="8"/>
        <v>August</v>
      </c>
      <c r="D91" s="11" t="s">
        <v>65</v>
      </c>
      <c r="E91" s="11" t="s">
        <v>66</v>
      </c>
      <c r="F91" s="11" t="s">
        <v>17</v>
      </c>
      <c r="G91" s="11" t="s">
        <v>18</v>
      </c>
      <c r="H91" s="11" t="s">
        <v>19</v>
      </c>
      <c r="I91" s="17">
        <v>3</v>
      </c>
      <c r="J91" s="17">
        <v>249.99</v>
      </c>
      <c r="K91" s="11" t="s">
        <v>34</v>
      </c>
      <c r="L91" s="11" t="s">
        <v>40</v>
      </c>
      <c r="M91" s="11" t="s">
        <v>27</v>
      </c>
      <c r="N91" s="18">
        <v>44465</v>
      </c>
      <c r="O91" s="19">
        <v>749.97</v>
      </c>
      <c r="P91" s="3">
        <f t="shared" ca="1" si="5"/>
        <v>124</v>
      </c>
      <c r="Q91" s="3" t="str">
        <f t="shared" si="6"/>
        <v>Normal</v>
      </c>
      <c r="R91" s="3">
        <f t="shared" si="7"/>
        <v>26</v>
      </c>
      <c r="T91" s="21" t="str">
        <f t="shared" si="9"/>
        <v>KH</v>
      </c>
    </row>
    <row r="92" spans="1:20" ht="31.5">
      <c r="A92" s="11" t="s">
        <v>219</v>
      </c>
      <c r="B92" s="18">
        <v>45517</v>
      </c>
      <c r="C92" s="18" t="str">
        <f t="shared" si="8"/>
        <v>August</v>
      </c>
      <c r="D92" s="11" t="s">
        <v>38</v>
      </c>
      <c r="E92" s="11" t="s">
        <v>39</v>
      </c>
      <c r="F92" s="11" t="s">
        <v>126</v>
      </c>
      <c r="G92" s="11" t="s">
        <v>127</v>
      </c>
      <c r="H92" s="11" t="s">
        <v>46</v>
      </c>
      <c r="I92" s="17">
        <v>4</v>
      </c>
      <c r="J92" s="17">
        <v>199.99</v>
      </c>
      <c r="K92" s="11" t="s">
        <v>20</v>
      </c>
      <c r="L92" s="11" t="s">
        <v>40</v>
      </c>
      <c r="M92" s="11" t="s">
        <v>36</v>
      </c>
      <c r="N92" s="18">
        <v>44458</v>
      </c>
      <c r="O92" s="19">
        <v>799.96</v>
      </c>
      <c r="P92" s="3">
        <f t="shared" ca="1" si="5"/>
        <v>124</v>
      </c>
      <c r="Q92" s="3" t="str">
        <f t="shared" si="6"/>
        <v>Normal</v>
      </c>
      <c r="R92" s="3">
        <f t="shared" si="7"/>
        <v>15</v>
      </c>
      <c r="T92" s="21" t="str">
        <f t="shared" si="9"/>
        <v>KB</v>
      </c>
    </row>
    <row r="93" spans="1:20" ht="31.5">
      <c r="A93" s="11" t="s">
        <v>220</v>
      </c>
      <c r="B93" s="18">
        <v>45519</v>
      </c>
      <c r="C93" s="18" t="str">
        <f t="shared" si="8"/>
        <v>August</v>
      </c>
      <c r="D93" s="11" t="s">
        <v>158</v>
      </c>
      <c r="E93" s="11" t="s">
        <v>159</v>
      </c>
      <c r="F93" s="11" t="s">
        <v>126</v>
      </c>
      <c r="G93" s="11" t="s">
        <v>127</v>
      </c>
      <c r="H93" s="11" t="s">
        <v>46</v>
      </c>
      <c r="I93" s="17">
        <v>5</v>
      </c>
      <c r="J93" s="17">
        <v>199.99</v>
      </c>
      <c r="K93" s="11" t="s">
        <v>20</v>
      </c>
      <c r="L93" s="11" t="s">
        <v>40</v>
      </c>
      <c r="M93" s="11" t="s">
        <v>27</v>
      </c>
      <c r="N93" s="18">
        <v>44991</v>
      </c>
      <c r="O93" s="19">
        <v>999.95</v>
      </c>
      <c r="P93" s="3">
        <f t="shared" ca="1" si="5"/>
        <v>123</v>
      </c>
      <c r="Q93" s="3" t="str">
        <f t="shared" si="6"/>
        <v>Normal</v>
      </c>
      <c r="R93" s="3">
        <f t="shared" si="7"/>
        <v>15</v>
      </c>
      <c r="T93" s="21" t="str">
        <f t="shared" si="9"/>
        <v>BC</v>
      </c>
    </row>
    <row r="94" spans="1:20">
      <c r="A94" s="11" t="s">
        <v>221</v>
      </c>
      <c r="B94" s="18">
        <v>45522</v>
      </c>
      <c r="C94" s="18" t="str">
        <f t="shared" si="8"/>
        <v>August</v>
      </c>
      <c r="D94" s="11" t="s">
        <v>86</v>
      </c>
      <c r="E94" s="11" t="s">
        <v>87</v>
      </c>
      <c r="F94" s="11" t="s">
        <v>117</v>
      </c>
      <c r="G94" s="11" t="s">
        <v>118</v>
      </c>
      <c r="H94" s="11" t="s">
        <v>19</v>
      </c>
      <c r="I94" s="17">
        <v>2</v>
      </c>
      <c r="J94" s="17">
        <v>89.99</v>
      </c>
      <c r="K94" s="11" t="s">
        <v>20</v>
      </c>
      <c r="L94" s="11" t="s">
        <v>63</v>
      </c>
      <c r="M94" s="11" t="s">
        <v>27</v>
      </c>
      <c r="N94" s="18">
        <v>44972</v>
      </c>
      <c r="O94" s="19">
        <v>179.98</v>
      </c>
      <c r="P94" s="3">
        <f t="shared" ca="1" si="5"/>
        <v>125</v>
      </c>
      <c r="Q94" s="3" t="str">
        <f t="shared" si="6"/>
        <v>Normal</v>
      </c>
      <c r="R94" s="3">
        <f t="shared" si="7"/>
        <v>34</v>
      </c>
      <c r="T94" s="21" t="str">
        <f t="shared" si="9"/>
        <v>MC</v>
      </c>
    </row>
    <row r="95" spans="1:20" ht="31.5">
      <c r="A95" s="11" t="s">
        <v>222</v>
      </c>
      <c r="B95" s="18">
        <v>45523</v>
      </c>
      <c r="C95" s="18" t="str">
        <f t="shared" si="8"/>
        <v>August</v>
      </c>
      <c r="D95" s="11" t="s">
        <v>196</v>
      </c>
      <c r="E95" s="11" t="s">
        <v>197</v>
      </c>
      <c r="F95" s="11" t="s">
        <v>61</v>
      </c>
      <c r="G95" s="11" t="s">
        <v>62</v>
      </c>
      <c r="H95" s="11" t="s">
        <v>19</v>
      </c>
      <c r="I95" s="17">
        <v>5</v>
      </c>
      <c r="J95" s="17">
        <v>899.99</v>
      </c>
      <c r="K95" s="11" t="s">
        <v>57</v>
      </c>
      <c r="L95" s="11" t="s">
        <v>63</v>
      </c>
      <c r="M95" s="11" t="s">
        <v>22</v>
      </c>
      <c r="N95" s="18">
        <v>44526</v>
      </c>
      <c r="O95" s="19">
        <v>4499.95</v>
      </c>
      <c r="P95" s="3">
        <f t="shared" ca="1" si="5"/>
        <v>114</v>
      </c>
      <c r="Q95" s="3" t="str">
        <f t="shared" si="6"/>
        <v>High Value</v>
      </c>
      <c r="R95" s="3">
        <f t="shared" si="7"/>
        <v>24</v>
      </c>
      <c r="T95" s="21" t="str">
        <f t="shared" si="9"/>
        <v>GM</v>
      </c>
    </row>
    <row r="96" spans="1:20">
      <c r="A96" s="11" t="s">
        <v>223</v>
      </c>
      <c r="B96" s="18">
        <v>45523</v>
      </c>
      <c r="C96" s="18" t="str">
        <f t="shared" si="8"/>
        <v>August</v>
      </c>
      <c r="D96" s="11" t="s">
        <v>108</v>
      </c>
      <c r="E96" s="11" t="s">
        <v>109</v>
      </c>
      <c r="F96" s="11" t="s">
        <v>52</v>
      </c>
      <c r="G96" s="11" t="s">
        <v>53</v>
      </c>
      <c r="H96" s="11" t="s">
        <v>19</v>
      </c>
      <c r="I96" s="17">
        <v>3</v>
      </c>
      <c r="J96" s="17">
        <v>149.99</v>
      </c>
      <c r="K96" s="11" t="s">
        <v>34</v>
      </c>
      <c r="L96" s="11" t="s">
        <v>63</v>
      </c>
      <c r="M96" s="11" t="s">
        <v>22</v>
      </c>
      <c r="N96" s="18">
        <v>44574</v>
      </c>
      <c r="O96" s="19">
        <v>449.97</v>
      </c>
      <c r="P96" s="3">
        <f t="shared" ca="1" si="5"/>
        <v>125</v>
      </c>
      <c r="Q96" s="3" t="str">
        <f t="shared" si="6"/>
        <v>Normal</v>
      </c>
      <c r="R96" s="3">
        <f t="shared" si="7"/>
        <v>16</v>
      </c>
      <c r="T96" s="21" t="str">
        <f t="shared" si="9"/>
        <v>NC</v>
      </c>
    </row>
    <row r="97" spans="1:20">
      <c r="A97" s="11" t="s">
        <v>224</v>
      </c>
      <c r="B97" s="18">
        <v>45526</v>
      </c>
      <c r="C97" s="18" t="str">
        <f t="shared" si="8"/>
        <v>August</v>
      </c>
      <c r="D97" s="11" t="s">
        <v>102</v>
      </c>
      <c r="E97" s="11" t="s">
        <v>103</v>
      </c>
      <c r="F97" s="11" t="s">
        <v>44</v>
      </c>
      <c r="G97" s="11" t="s">
        <v>45</v>
      </c>
      <c r="H97" s="11" t="s">
        <v>46</v>
      </c>
      <c r="I97" s="17">
        <v>5</v>
      </c>
      <c r="J97" s="17">
        <v>149.99</v>
      </c>
      <c r="K97" s="11" t="s">
        <v>26</v>
      </c>
      <c r="L97" s="11" t="s">
        <v>21</v>
      </c>
      <c r="M97" s="11" t="s">
        <v>22</v>
      </c>
      <c r="N97" s="18">
        <v>45310</v>
      </c>
      <c r="O97" s="19">
        <v>749.95</v>
      </c>
      <c r="P97" s="3">
        <f t="shared" ca="1" si="5"/>
        <v>124</v>
      </c>
      <c r="Q97" s="3" t="str">
        <f t="shared" si="6"/>
        <v>Normal</v>
      </c>
      <c r="R97" s="3">
        <f t="shared" si="7"/>
        <v>35</v>
      </c>
      <c r="T97" s="21" t="str">
        <f t="shared" si="9"/>
        <v>CP</v>
      </c>
    </row>
    <row r="98" spans="1:20" ht="31.5">
      <c r="A98" s="11" t="s">
        <v>225</v>
      </c>
      <c r="B98" s="18">
        <v>45528</v>
      </c>
      <c r="C98" s="18" t="str">
        <f t="shared" si="8"/>
        <v>August</v>
      </c>
      <c r="D98" s="11" t="s">
        <v>226</v>
      </c>
      <c r="E98" s="11" t="s">
        <v>227</v>
      </c>
      <c r="F98" s="11" t="s">
        <v>114</v>
      </c>
      <c r="G98" s="11" t="s">
        <v>115</v>
      </c>
      <c r="H98" s="11" t="s">
        <v>33</v>
      </c>
      <c r="I98" s="17">
        <v>3</v>
      </c>
      <c r="J98" s="17">
        <v>79.989999999999995</v>
      </c>
      <c r="K98" s="11" t="s">
        <v>20</v>
      </c>
      <c r="L98" s="11" t="s">
        <v>21</v>
      </c>
      <c r="M98" s="11" t="s">
        <v>27</v>
      </c>
      <c r="N98" s="18">
        <v>44779</v>
      </c>
      <c r="O98" s="19">
        <v>239.97</v>
      </c>
      <c r="P98" s="3">
        <f t="shared" ca="1" si="5"/>
        <v>125</v>
      </c>
      <c r="Q98" s="3" t="str">
        <f t="shared" si="6"/>
        <v>Normal</v>
      </c>
      <c r="R98" s="3">
        <f t="shared" si="7"/>
        <v>14</v>
      </c>
      <c r="T98" s="21" t="str">
        <f t="shared" si="9"/>
        <v>LR</v>
      </c>
    </row>
    <row r="99" spans="1:20">
      <c r="A99" s="11" t="s">
        <v>228</v>
      </c>
      <c r="B99" s="18">
        <v>45528</v>
      </c>
      <c r="C99" s="18" t="str">
        <f t="shared" si="8"/>
        <v>August</v>
      </c>
      <c r="D99" s="11" t="s">
        <v>144</v>
      </c>
      <c r="E99" s="11" t="s">
        <v>145</v>
      </c>
      <c r="F99" s="11" t="s">
        <v>17</v>
      </c>
      <c r="G99" s="11" t="s">
        <v>18</v>
      </c>
      <c r="H99" s="11" t="s">
        <v>19</v>
      </c>
      <c r="I99" s="17">
        <v>2</v>
      </c>
      <c r="J99" s="17">
        <v>249.99</v>
      </c>
      <c r="K99" s="11" t="s">
        <v>20</v>
      </c>
      <c r="L99" s="11" t="s">
        <v>35</v>
      </c>
      <c r="M99" s="11" t="s">
        <v>36</v>
      </c>
      <c r="N99" s="18">
        <v>44572</v>
      </c>
      <c r="O99" s="19">
        <v>499.98</v>
      </c>
      <c r="P99" s="3">
        <f t="shared" ca="1" si="5"/>
        <v>124</v>
      </c>
      <c r="Q99" s="3" t="str">
        <f t="shared" si="6"/>
        <v>Normal</v>
      </c>
      <c r="R99" s="3">
        <f t="shared" si="7"/>
        <v>26</v>
      </c>
      <c r="T99" s="21" t="str">
        <f t="shared" si="9"/>
        <v>HM</v>
      </c>
    </row>
    <row r="100" spans="1:20" ht="31.5">
      <c r="A100" s="11" t="s">
        <v>229</v>
      </c>
      <c r="B100" s="18">
        <v>45532</v>
      </c>
      <c r="C100" s="18" t="str">
        <f t="shared" si="8"/>
        <v>August</v>
      </c>
      <c r="D100" s="11" t="s">
        <v>196</v>
      </c>
      <c r="E100" s="11" t="s">
        <v>197</v>
      </c>
      <c r="F100" s="11" t="s">
        <v>80</v>
      </c>
      <c r="G100" s="11" t="s">
        <v>81</v>
      </c>
      <c r="H100" s="11" t="s">
        <v>19</v>
      </c>
      <c r="I100" s="17">
        <v>1</v>
      </c>
      <c r="J100" s="17">
        <v>699.99</v>
      </c>
      <c r="K100" s="11" t="s">
        <v>20</v>
      </c>
      <c r="L100" s="11" t="s">
        <v>21</v>
      </c>
      <c r="M100" s="11" t="s">
        <v>27</v>
      </c>
      <c r="N100" s="18">
        <v>44497</v>
      </c>
      <c r="O100" s="19">
        <v>699.99</v>
      </c>
      <c r="P100" s="3">
        <f t="shared" ca="1" si="5"/>
        <v>124</v>
      </c>
      <c r="Q100" s="3" t="str">
        <f t="shared" si="6"/>
        <v>Normal</v>
      </c>
      <c r="R100" s="3">
        <f t="shared" si="7"/>
        <v>31</v>
      </c>
      <c r="T100" s="21" t="str">
        <f t="shared" si="9"/>
        <v>GM</v>
      </c>
    </row>
    <row r="101" spans="1:20">
      <c r="A101" s="11" t="s">
        <v>230</v>
      </c>
      <c r="B101" s="18">
        <v>45532</v>
      </c>
      <c r="C101" s="18" t="str">
        <f t="shared" si="8"/>
        <v>August</v>
      </c>
      <c r="D101" s="11" t="s">
        <v>231</v>
      </c>
      <c r="E101" s="11" t="s">
        <v>232</v>
      </c>
      <c r="F101" s="11" t="s">
        <v>52</v>
      </c>
      <c r="G101" s="11" t="s">
        <v>53</v>
      </c>
      <c r="H101" s="11" t="s">
        <v>19</v>
      </c>
      <c r="I101" s="17">
        <v>3</v>
      </c>
      <c r="J101" s="17">
        <v>149.99</v>
      </c>
      <c r="K101" s="11" t="s">
        <v>20</v>
      </c>
      <c r="L101" s="11" t="s">
        <v>50</v>
      </c>
      <c r="M101" s="11" t="s">
        <v>27</v>
      </c>
      <c r="N101" s="18">
        <v>45212</v>
      </c>
      <c r="O101" s="19">
        <v>449.97</v>
      </c>
      <c r="P101" s="3">
        <f t="shared" ca="1" si="5"/>
        <v>125</v>
      </c>
      <c r="Q101" s="3" t="str">
        <f t="shared" si="6"/>
        <v>Normal</v>
      </c>
      <c r="R101" s="3">
        <f t="shared" si="7"/>
        <v>16</v>
      </c>
      <c r="T101" s="21" t="str">
        <f t="shared" si="9"/>
        <v>CE</v>
      </c>
    </row>
    <row r="102" spans="1:20" ht="31.5">
      <c r="A102" s="11" t="s">
        <v>233</v>
      </c>
      <c r="B102" s="18">
        <v>45534</v>
      </c>
      <c r="C102" s="18" t="str">
        <f t="shared" si="8"/>
        <v>August</v>
      </c>
      <c r="D102" s="11" t="s">
        <v>234</v>
      </c>
      <c r="E102" s="11" t="s">
        <v>235</v>
      </c>
      <c r="F102" s="11" t="s">
        <v>80</v>
      </c>
      <c r="G102" s="11" t="s">
        <v>81</v>
      </c>
      <c r="H102" s="11" t="s">
        <v>19</v>
      </c>
      <c r="I102" s="17">
        <v>2</v>
      </c>
      <c r="J102" s="17">
        <v>699.99</v>
      </c>
      <c r="K102" s="11" t="s">
        <v>26</v>
      </c>
      <c r="L102" s="11" t="s">
        <v>40</v>
      </c>
      <c r="M102" s="11" t="s">
        <v>27</v>
      </c>
      <c r="N102" s="18">
        <v>44421</v>
      </c>
      <c r="O102" s="19">
        <v>1399.98</v>
      </c>
      <c r="P102" s="3">
        <f t="shared" ca="1" si="5"/>
        <v>122</v>
      </c>
      <c r="Q102" s="3" t="str">
        <f t="shared" si="6"/>
        <v>Normal</v>
      </c>
      <c r="R102" s="3">
        <f t="shared" si="7"/>
        <v>31</v>
      </c>
      <c r="T102" s="21" t="str">
        <f t="shared" si="9"/>
        <v>SP</v>
      </c>
    </row>
    <row r="103" spans="1:20" ht="31.5">
      <c r="A103" s="11" t="s">
        <v>236</v>
      </c>
      <c r="B103" s="18">
        <v>45537</v>
      </c>
      <c r="C103" s="18" t="str">
        <f t="shared" si="8"/>
        <v>September</v>
      </c>
      <c r="D103" s="11" t="s">
        <v>231</v>
      </c>
      <c r="E103" s="11" t="s">
        <v>232</v>
      </c>
      <c r="F103" s="11" t="s">
        <v>17</v>
      </c>
      <c r="G103" s="11" t="s">
        <v>18</v>
      </c>
      <c r="H103" s="11" t="s">
        <v>19</v>
      </c>
      <c r="I103" s="17">
        <v>1</v>
      </c>
      <c r="J103" s="17">
        <v>249.99</v>
      </c>
      <c r="K103" s="11" t="s">
        <v>26</v>
      </c>
      <c r="L103" s="11" t="s">
        <v>50</v>
      </c>
      <c r="M103" s="11" t="s">
        <v>27</v>
      </c>
      <c r="N103" s="18">
        <v>44685</v>
      </c>
      <c r="O103" s="19">
        <v>249.99</v>
      </c>
      <c r="P103" s="3">
        <f t="shared" ca="1" si="5"/>
        <v>125</v>
      </c>
      <c r="Q103" s="3" t="str">
        <f t="shared" si="6"/>
        <v>Normal</v>
      </c>
      <c r="R103" s="3">
        <f t="shared" si="7"/>
        <v>26</v>
      </c>
      <c r="T103" s="21" t="str">
        <f t="shared" si="9"/>
        <v>CE</v>
      </c>
    </row>
    <row r="104" spans="1:20" ht="31.5">
      <c r="A104" s="11" t="s">
        <v>237</v>
      </c>
      <c r="B104" s="18">
        <v>45537</v>
      </c>
      <c r="C104" s="18" t="str">
        <f t="shared" si="8"/>
        <v>September</v>
      </c>
      <c r="D104" s="11" t="s">
        <v>15</v>
      </c>
      <c r="E104" s="11" t="s">
        <v>16</v>
      </c>
      <c r="F104" s="11" t="s">
        <v>17</v>
      </c>
      <c r="G104" s="11" t="s">
        <v>18</v>
      </c>
      <c r="H104" s="11" t="s">
        <v>19</v>
      </c>
      <c r="I104" s="17">
        <v>1</v>
      </c>
      <c r="J104" s="17">
        <v>249.99</v>
      </c>
      <c r="K104" s="11" t="s">
        <v>57</v>
      </c>
      <c r="L104" s="11" t="s">
        <v>40</v>
      </c>
      <c r="M104" s="11" t="s">
        <v>27</v>
      </c>
      <c r="N104" s="18">
        <v>45332</v>
      </c>
      <c r="O104" s="19">
        <v>249.99</v>
      </c>
      <c r="P104" s="3">
        <f t="shared" ca="1" si="5"/>
        <v>125</v>
      </c>
      <c r="Q104" s="3" t="str">
        <f t="shared" si="6"/>
        <v>Normal</v>
      </c>
      <c r="R104" s="3">
        <f t="shared" si="7"/>
        <v>26</v>
      </c>
      <c r="T104" s="21" t="str">
        <f t="shared" si="9"/>
        <v>PB</v>
      </c>
    </row>
    <row r="105" spans="1:20" ht="31.5">
      <c r="A105" s="11" t="s">
        <v>238</v>
      </c>
      <c r="B105" s="18">
        <v>45538</v>
      </c>
      <c r="C105" s="18" t="str">
        <f t="shared" si="8"/>
        <v>September</v>
      </c>
      <c r="D105" s="11" t="s">
        <v>226</v>
      </c>
      <c r="E105" s="11" t="s">
        <v>227</v>
      </c>
      <c r="F105" s="11" t="s">
        <v>80</v>
      </c>
      <c r="G105" s="11" t="s">
        <v>81</v>
      </c>
      <c r="H105" s="11" t="s">
        <v>19</v>
      </c>
      <c r="I105" s="17">
        <v>2</v>
      </c>
      <c r="J105" s="17">
        <v>699.99</v>
      </c>
      <c r="K105" s="11" t="s">
        <v>57</v>
      </c>
      <c r="L105" s="11" t="s">
        <v>21</v>
      </c>
      <c r="M105" s="11" t="s">
        <v>27</v>
      </c>
      <c r="N105" s="18">
        <v>44870</v>
      </c>
      <c r="O105" s="19">
        <v>1399.98</v>
      </c>
      <c r="P105" s="3">
        <f t="shared" ca="1" si="5"/>
        <v>122</v>
      </c>
      <c r="Q105" s="3" t="str">
        <f t="shared" si="6"/>
        <v>Normal</v>
      </c>
      <c r="R105" s="3">
        <f t="shared" si="7"/>
        <v>31</v>
      </c>
      <c r="T105" s="21" t="str">
        <f t="shared" si="9"/>
        <v>LR</v>
      </c>
    </row>
    <row r="106" spans="1:20" ht="31.5">
      <c r="A106" s="11" t="s">
        <v>239</v>
      </c>
      <c r="B106" s="18">
        <v>45541</v>
      </c>
      <c r="C106" s="18" t="str">
        <f t="shared" si="8"/>
        <v>September</v>
      </c>
      <c r="D106" s="11" t="s">
        <v>138</v>
      </c>
      <c r="E106" s="11" t="s">
        <v>139</v>
      </c>
      <c r="F106" s="11" t="s">
        <v>31</v>
      </c>
      <c r="G106" s="11" t="s">
        <v>32</v>
      </c>
      <c r="H106" s="11" t="s">
        <v>33</v>
      </c>
      <c r="I106" s="17">
        <v>3</v>
      </c>
      <c r="J106" s="17">
        <v>59.99</v>
      </c>
      <c r="K106" s="11" t="s">
        <v>26</v>
      </c>
      <c r="L106" s="11" t="s">
        <v>21</v>
      </c>
      <c r="M106" s="11" t="s">
        <v>27</v>
      </c>
      <c r="N106" s="18">
        <v>44717</v>
      </c>
      <c r="O106" s="19">
        <v>179.97</v>
      </c>
      <c r="P106" s="3">
        <f t="shared" ca="1" si="5"/>
        <v>125</v>
      </c>
      <c r="Q106" s="3" t="str">
        <f t="shared" si="6"/>
        <v>Normal</v>
      </c>
      <c r="R106" s="3">
        <f t="shared" si="7"/>
        <v>29</v>
      </c>
      <c r="T106" s="21" t="str">
        <f t="shared" si="9"/>
        <v>ST</v>
      </c>
    </row>
    <row r="107" spans="1:20" ht="31.5">
      <c r="A107" s="11" t="s">
        <v>240</v>
      </c>
      <c r="B107" s="18">
        <v>45544</v>
      </c>
      <c r="C107" s="18" t="str">
        <f t="shared" si="8"/>
        <v>September</v>
      </c>
      <c r="D107" s="11" t="s">
        <v>132</v>
      </c>
      <c r="E107" s="11" t="s">
        <v>133</v>
      </c>
      <c r="F107" s="11" t="s">
        <v>31</v>
      </c>
      <c r="G107" s="11" t="s">
        <v>32</v>
      </c>
      <c r="H107" s="11" t="s">
        <v>33</v>
      </c>
      <c r="I107" s="17">
        <v>3</v>
      </c>
      <c r="J107" s="17">
        <v>59.99</v>
      </c>
      <c r="K107" s="11" t="s">
        <v>34</v>
      </c>
      <c r="L107" s="11" t="s">
        <v>63</v>
      </c>
      <c r="M107" s="11" t="s">
        <v>36</v>
      </c>
      <c r="N107" s="18">
        <v>44748</v>
      </c>
      <c r="O107" s="19">
        <v>179.97</v>
      </c>
      <c r="P107" s="3">
        <f t="shared" ca="1" si="5"/>
        <v>125</v>
      </c>
      <c r="Q107" s="3" t="str">
        <f t="shared" si="6"/>
        <v>Normal</v>
      </c>
      <c r="R107" s="3">
        <f t="shared" si="7"/>
        <v>29</v>
      </c>
      <c r="T107" s="21" t="str">
        <f t="shared" si="9"/>
        <v>EW</v>
      </c>
    </row>
    <row r="108" spans="1:20" ht="31.5">
      <c r="A108" s="11" t="s">
        <v>241</v>
      </c>
      <c r="B108" s="18">
        <v>45544</v>
      </c>
      <c r="C108" s="18" t="str">
        <f t="shared" si="8"/>
        <v>September</v>
      </c>
      <c r="D108" s="11" t="s">
        <v>141</v>
      </c>
      <c r="E108" s="11" t="s">
        <v>142</v>
      </c>
      <c r="F108" s="11" t="s">
        <v>114</v>
      </c>
      <c r="G108" s="11" t="s">
        <v>115</v>
      </c>
      <c r="H108" s="11" t="s">
        <v>33</v>
      </c>
      <c r="I108" s="17">
        <v>4</v>
      </c>
      <c r="J108" s="17">
        <v>79.989999999999995</v>
      </c>
      <c r="K108" s="11" t="s">
        <v>20</v>
      </c>
      <c r="L108" s="11" t="s">
        <v>40</v>
      </c>
      <c r="M108" s="11" t="s">
        <v>22</v>
      </c>
      <c r="N108" s="18">
        <v>44530</v>
      </c>
      <c r="O108" s="19">
        <v>319.95999999999998</v>
      </c>
      <c r="P108" s="3">
        <f t="shared" ca="1" si="5"/>
        <v>125</v>
      </c>
      <c r="Q108" s="3" t="str">
        <f t="shared" si="6"/>
        <v>Normal</v>
      </c>
      <c r="R108" s="3">
        <f t="shared" si="7"/>
        <v>14</v>
      </c>
      <c r="T108" s="21" t="str">
        <f t="shared" si="9"/>
        <v>JT</v>
      </c>
    </row>
    <row r="109" spans="1:20" ht="31.5">
      <c r="A109" s="11" t="s">
        <v>242</v>
      </c>
      <c r="B109" s="18">
        <v>45545</v>
      </c>
      <c r="C109" s="18" t="str">
        <f t="shared" si="8"/>
        <v>September</v>
      </c>
      <c r="D109" s="11" t="s">
        <v>55</v>
      </c>
      <c r="E109" s="11" t="s">
        <v>56</v>
      </c>
      <c r="F109" s="11" t="s">
        <v>114</v>
      </c>
      <c r="G109" s="11" t="s">
        <v>115</v>
      </c>
      <c r="H109" s="11" t="s">
        <v>33</v>
      </c>
      <c r="I109" s="17">
        <v>1</v>
      </c>
      <c r="J109" s="17">
        <v>79.989999999999995</v>
      </c>
      <c r="K109" s="11" t="s">
        <v>20</v>
      </c>
      <c r="L109" s="11" t="s">
        <v>50</v>
      </c>
      <c r="M109" s="11" t="s">
        <v>22</v>
      </c>
      <c r="N109" s="18">
        <v>44693</v>
      </c>
      <c r="O109" s="19">
        <v>79.989999999999995</v>
      </c>
      <c r="P109" s="3">
        <f t="shared" ca="1" si="5"/>
        <v>126</v>
      </c>
      <c r="Q109" s="3" t="str">
        <f t="shared" si="6"/>
        <v>Normal</v>
      </c>
      <c r="R109" s="3">
        <f t="shared" si="7"/>
        <v>14</v>
      </c>
      <c r="T109" s="21" t="str">
        <f t="shared" si="9"/>
        <v>CA</v>
      </c>
    </row>
    <row r="110" spans="1:20" ht="31.5">
      <c r="A110" s="11" t="s">
        <v>243</v>
      </c>
      <c r="B110" s="18">
        <v>45547</v>
      </c>
      <c r="C110" s="18" t="str">
        <f t="shared" si="8"/>
        <v>September</v>
      </c>
      <c r="D110" s="11" t="s">
        <v>48</v>
      </c>
      <c r="E110" s="11" t="s">
        <v>49</v>
      </c>
      <c r="F110" s="11" t="s">
        <v>105</v>
      </c>
      <c r="G110" s="11" t="s">
        <v>106</v>
      </c>
      <c r="H110" s="11" t="s">
        <v>46</v>
      </c>
      <c r="I110" s="17">
        <v>3</v>
      </c>
      <c r="J110" s="17">
        <v>299.99</v>
      </c>
      <c r="K110" s="11" t="s">
        <v>26</v>
      </c>
      <c r="L110" s="11" t="s">
        <v>21</v>
      </c>
      <c r="M110" s="11" t="s">
        <v>27</v>
      </c>
      <c r="N110" s="18">
        <v>44494</v>
      </c>
      <c r="O110" s="19">
        <v>899.97</v>
      </c>
      <c r="P110" s="3">
        <f t="shared" ca="1" si="5"/>
        <v>123</v>
      </c>
      <c r="Q110" s="3" t="str">
        <f t="shared" si="6"/>
        <v>Normal</v>
      </c>
      <c r="R110" s="3">
        <f t="shared" si="7"/>
        <v>26</v>
      </c>
      <c r="T110" s="21" t="str">
        <f t="shared" si="9"/>
        <v>DN</v>
      </c>
    </row>
    <row r="111" spans="1:20" ht="31.5">
      <c r="A111" s="11" t="s">
        <v>244</v>
      </c>
      <c r="B111" s="18">
        <v>45548</v>
      </c>
      <c r="C111" s="18" t="str">
        <f t="shared" si="8"/>
        <v>September</v>
      </c>
      <c r="D111" s="11" t="s">
        <v>38</v>
      </c>
      <c r="E111" s="11" t="s">
        <v>39</v>
      </c>
      <c r="F111" s="11" t="s">
        <v>117</v>
      </c>
      <c r="G111" s="11" t="s">
        <v>118</v>
      </c>
      <c r="H111" s="11" t="s">
        <v>19</v>
      </c>
      <c r="I111" s="17">
        <v>2</v>
      </c>
      <c r="J111" s="17">
        <v>89.99</v>
      </c>
      <c r="K111" s="11" t="s">
        <v>26</v>
      </c>
      <c r="L111" s="11" t="s">
        <v>35</v>
      </c>
      <c r="M111" s="11" t="s">
        <v>27</v>
      </c>
      <c r="N111" s="18">
        <v>44641</v>
      </c>
      <c r="O111" s="19">
        <v>179.98</v>
      </c>
      <c r="P111" s="3">
        <f t="shared" ca="1" si="5"/>
        <v>125</v>
      </c>
      <c r="Q111" s="3" t="str">
        <f t="shared" si="6"/>
        <v>Normal</v>
      </c>
      <c r="R111" s="3">
        <f t="shared" si="7"/>
        <v>34</v>
      </c>
      <c r="T111" s="21" t="str">
        <f t="shared" si="9"/>
        <v>KB</v>
      </c>
    </row>
    <row r="112" spans="1:20" ht="31.5">
      <c r="A112" s="11" t="s">
        <v>245</v>
      </c>
      <c r="B112" s="18">
        <v>45550</v>
      </c>
      <c r="C112" s="18" t="str">
        <f t="shared" si="8"/>
        <v>September</v>
      </c>
      <c r="D112" s="11" t="s">
        <v>246</v>
      </c>
      <c r="E112" s="11" t="s">
        <v>247</v>
      </c>
      <c r="F112" s="11" t="s">
        <v>52</v>
      </c>
      <c r="G112" s="11" t="s">
        <v>53</v>
      </c>
      <c r="H112" s="11" t="s">
        <v>19</v>
      </c>
      <c r="I112" s="17">
        <v>4</v>
      </c>
      <c r="J112" s="17">
        <v>149.99</v>
      </c>
      <c r="K112" s="11" t="s">
        <v>20</v>
      </c>
      <c r="L112" s="11" t="s">
        <v>40</v>
      </c>
      <c r="M112" s="11" t="s">
        <v>22</v>
      </c>
      <c r="N112" s="18">
        <v>44909</v>
      </c>
      <c r="O112" s="19">
        <v>599.96</v>
      </c>
      <c r="P112" s="3">
        <f t="shared" ca="1" si="5"/>
        <v>124</v>
      </c>
      <c r="Q112" s="3" t="str">
        <f t="shared" si="6"/>
        <v>Normal</v>
      </c>
      <c r="R112" s="3">
        <f t="shared" si="7"/>
        <v>16</v>
      </c>
      <c r="T112" s="21" t="str">
        <f t="shared" si="9"/>
        <v>RB</v>
      </c>
    </row>
    <row r="113" spans="1:20" ht="31.5">
      <c r="A113" s="11" t="s">
        <v>248</v>
      </c>
      <c r="B113" s="18">
        <v>45551</v>
      </c>
      <c r="C113" s="18" t="str">
        <f t="shared" si="8"/>
        <v>September</v>
      </c>
      <c r="D113" s="11" t="s">
        <v>65</v>
      </c>
      <c r="E113" s="11" t="s">
        <v>66</v>
      </c>
      <c r="F113" s="11" t="s">
        <v>17</v>
      </c>
      <c r="G113" s="11" t="s">
        <v>18</v>
      </c>
      <c r="H113" s="11" t="s">
        <v>19</v>
      </c>
      <c r="I113" s="17">
        <v>2</v>
      </c>
      <c r="J113" s="17">
        <v>249.99</v>
      </c>
      <c r="K113" s="11" t="s">
        <v>34</v>
      </c>
      <c r="L113" s="11" t="s">
        <v>35</v>
      </c>
      <c r="M113" s="11" t="s">
        <v>22</v>
      </c>
      <c r="N113" s="18">
        <v>44993</v>
      </c>
      <c r="O113" s="19">
        <v>499.98</v>
      </c>
      <c r="P113" s="3">
        <f t="shared" ca="1" si="5"/>
        <v>124</v>
      </c>
      <c r="Q113" s="3" t="str">
        <f t="shared" si="6"/>
        <v>Normal</v>
      </c>
      <c r="R113" s="3">
        <f t="shared" si="7"/>
        <v>26</v>
      </c>
      <c r="T113" s="21" t="str">
        <f t="shared" si="9"/>
        <v>KH</v>
      </c>
    </row>
    <row r="114" spans="1:20" ht="31.5">
      <c r="A114" s="11" t="s">
        <v>249</v>
      </c>
      <c r="B114" s="18">
        <v>45551</v>
      </c>
      <c r="C114" s="18" t="str">
        <f t="shared" si="8"/>
        <v>September</v>
      </c>
      <c r="D114" s="11" t="s">
        <v>154</v>
      </c>
      <c r="E114" s="11" t="s">
        <v>155</v>
      </c>
      <c r="F114" s="11" t="s">
        <v>126</v>
      </c>
      <c r="G114" s="11" t="s">
        <v>127</v>
      </c>
      <c r="H114" s="11" t="s">
        <v>46</v>
      </c>
      <c r="I114" s="17">
        <v>4</v>
      </c>
      <c r="J114" s="17">
        <v>199.99</v>
      </c>
      <c r="K114" s="11" t="s">
        <v>57</v>
      </c>
      <c r="L114" s="11" t="s">
        <v>63</v>
      </c>
      <c r="M114" s="11" t="s">
        <v>22</v>
      </c>
      <c r="N114" s="18">
        <v>44458</v>
      </c>
      <c r="O114" s="19">
        <v>799.96</v>
      </c>
      <c r="P114" s="3">
        <f t="shared" ca="1" si="5"/>
        <v>124</v>
      </c>
      <c r="Q114" s="3" t="str">
        <f t="shared" si="6"/>
        <v>Normal</v>
      </c>
      <c r="R114" s="3">
        <f t="shared" si="7"/>
        <v>15</v>
      </c>
      <c r="T114" s="21" t="str">
        <f t="shared" si="9"/>
        <v>SD</v>
      </c>
    </row>
    <row r="115" spans="1:20" ht="31.5">
      <c r="A115" s="11" t="s">
        <v>250</v>
      </c>
      <c r="B115" s="18">
        <v>45554</v>
      </c>
      <c r="C115" s="18" t="str">
        <f t="shared" si="8"/>
        <v>September</v>
      </c>
      <c r="D115" s="11" t="s">
        <v>147</v>
      </c>
      <c r="E115" s="11" t="s">
        <v>148</v>
      </c>
      <c r="F115" s="11" t="s">
        <v>117</v>
      </c>
      <c r="G115" s="11" t="s">
        <v>118</v>
      </c>
      <c r="H115" s="11" t="s">
        <v>19</v>
      </c>
      <c r="I115" s="17">
        <v>5</v>
      </c>
      <c r="J115" s="17">
        <v>89.99</v>
      </c>
      <c r="K115" s="11" t="s">
        <v>26</v>
      </c>
      <c r="L115" s="11" t="s">
        <v>63</v>
      </c>
      <c r="M115" s="11" t="s">
        <v>27</v>
      </c>
      <c r="N115" s="18">
        <v>44446</v>
      </c>
      <c r="O115" s="19">
        <v>449.95</v>
      </c>
      <c r="P115" s="3">
        <f t="shared" ca="1" si="5"/>
        <v>125</v>
      </c>
      <c r="Q115" s="3" t="str">
        <f t="shared" si="6"/>
        <v>Normal</v>
      </c>
      <c r="R115" s="3">
        <f t="shared" si="7"/>
        <v>34</v>
      </c>
      <c r="T115" s="21" t="str">
        <f t="shared" si="9"/>
        <v>DK</v>
      </c>
    </row>
    <row r="116" spans="1:20" ht="31.5">
      <c r="A116" s="11" t="s">
        <v>251</v>
      </c>
      <c r="B116" s="18">
        <v>45554</v>
      </c>
      <c r="C116" s="18" t="str">
        <f t="shared" si="8"/>
        <v>September</v>
      </c>
      <c r="D116" s="11" t="s">
        <v>252</v>
      </c>
      <c r="E116" s="11" t="s">
        <v>253</v>
      </c>
      <c r="F116" s="11" t="s">
        <v>52</v>
      </c>
      <c r="G116" s="11" t="s">
        <v>53</v>
      </c>
      <c r="H116" s="11" t="s">
        <v>19</v>
      </c>
      <c r="I116" s="17">
        <v>1</v>
      </c>
      <c r="J116" s="17">
        <v>149.99</v>
      </c>
      <c r="K116" s="11" t="s">
        <v>34</v>
      </c>
      <c r="L116" s="11" t="s">
        <v>63</v>
      </c>
      <c r="M116" s="11" t="s">
        <v>36</v>
      </c>
      <c r="N116" s="18">
        <v>44482</v>
      </c>
      <c r="O116" s="19">
        <v>149.99</v>
      </c>
      <c r="P116" s="3">
        <f t="shared" ca="1" si="5"/>
        <v>125</v>
      </c>
      <c r="Q116" s="3" t="str">
        <f t="shared" si="6"/>
        <v>Normal</v>
      </c>
      <c r="R116" s="3">
        <f t="shared" si="7"/>
        <v>16</v>
      </c>
      <c r="T116" s="21" t="str">
        <f t="shared" si="9"/>
        <v>WW</v>
      </c>
    </row>
    <row r="117" spans="1:20" ht="31.5">
      <c r="A117" s="11" t="s">
        <v>254</v>
      </c>
      <c r="B117" s="18">
        <v>45554</v>
      </c>
      <c r="C117" s="18" t="str">
        <f t="shared" si="8"/>
        <v>September</v>
      </c>
      <c r="D117" s="11" t="s">
        <v>72</v>
      </c>
      <c r="E117" s="11" t="s">
        <v>73</v>
      </c>
      <c r="F117" s="11" t="s">
        <v>80</v>
      </c>
      <c r="G117" s="11" t="s">
        <v>81</v>
      </c>
      <c r="H117" s="11" t="s">
        <v>19</v>
      </c>
      <c r="I117" s="17">
        <v>4</v>
      </c>
      <c r="J117" s="17">
        <v>699.99</v>
      </c>
      <c r="K117" s="11" t="s">
        <v>34</v>
      </c>
      <c r="L117" s="11" t="s">
        <v>35</v>
      </c>
      <c r="M117" s="11" t="s">
        <v>22</v>
      </c>
      <c r="N117" s="18">
        <v>44618</v>
      </c>
      <c r="O117" s="19">
        <v>2799.96</v>
      </c>
      <c r="P117" s="3">
        <f t="shared" ca="1" si="5"/>
        <v>118</v>
      </c>
      <c r="Q117" s="3" t="str">
        <f t="shared" si="6"/>
        <v>High Value</v>
      </c>
      <c r="R117" s="3">
        <f t="shared" si="7"/>
        <v>31</v>
      </c>
      <c r="T117" s="21" t="str">
        <f t="shared" si="9"/>
        <v>PR</v>
      </c>
    </row>
    <row r="118" spans="1:20" ht="31.5">
      <c r="A118" s="11" t="s">
        <v>255</v>
      </c>
      <c r="B118" s="18">
        <v>45559</v>
      </c>
      <c r="C118" s="18" t="str">
        <f t="shared" si="8"/>
        <v>September</v>
      </c>
      <c r="D118" s="11" t="s">
        <v>234</v>
      </c>
      <c r="E118" s="11" t="s">
        <v>235</v>
      </c>
      <c r="F118" s="11" t="s">
        <v>61</v>
      </c>
      <c r="G118" s="11" t="s">
        <v>62</v>
      </c>
      <c r="H118" s="11" t="s">
        <v>19</v>
      </c>
      <c r="I118" s="17">
        <v>3</v>
      </c>
      <c r="J118" s="17">
        <v>899.99</v>
      </c>
      <c r="K118" s="11" t="s">
        <v>26</v>
      </c>
      <c r="L118" s="11" t="s">
        <v>40</v>
      </c>
      <c r="M118" s="11" t="s">
        <v>36</v>
      </c>
      <c r="N118" s="18">
        <v>45157</v>
      </c>
      <c r="O118" s="19">
        <v>2699.97</v>
      </c>
      <c r="P118" s="3">
        <f t="shared" ca="1" si="5"/>
        <v>118</v>
      </c>
      <c r="Q118" s="3" t="str">
        <f t="shared" si="6"/>
        <v>High Value</v>
      </c>
      <c r="R118" s="3">
        <f t="shared" si="7"/>
        <v>24</v>
      </c>
      <c r="T118" s="21" t="str">
        <f t="shared" si="9"/>
        <v>SP</v>
      </c>
    </row>
    <row r="119" spans="1:20" ht="31.5">
      <c r="A119" s="11" t="s">
        <v>256</v>
      </c>
      <c r="B119" s="18">
        <v>45560</v>
      </c>
      <c r="C119" s="18" t="str">
        <f t="shared" si="8"/>
        <v>September</v>
      </c>
      <c r="D119" s="11" t="s">
        <v>112</v>
      </c>
      <c r="E119" s="11" t="s">
        <v>113</v>
      </c>
      <c r="F119" s="11" t="s">
        <v>44</v>
      </c>
      <c r="G119" s="11" t="s">
        <v>45</v>
      </c>
      <c r="H119" s="11" t="s">
        <v>46</v>
      </c>
      <c r="I119" s="17">
        <v>3</v>
      </c>
      <c r="J119" s="17">
        <v>149.99</v>
      </c>
      <c r="K119" s="11" t="s">
        <v>34</v>
      </c>
      <c r="L119" s="11" t="s">
        <v>63</v>
      </c>
      <c r="M119" s="11" t="s">
        <v>22</v>
      </c>
      <c r="N119" s="18">
        <v>44886</v>
      </c>
      <c r="O119" s="19">
        <v>449.97</v>
      </c>
      <c r="P119" s="3">
        <f t="shared" ca="1" si="5"/>
        <v>125</v>
      </c>
      <c r="Q119" s="3" t="str">
        <f t="shared" si="6"/>
        <v>Normal</v>
      </c>
      <c r="R119" s="3">
        <f t="shared" si="7"/>
        <v>35</v>
      </c>
      <c r="T119" s="21" t="str">
        <f t="shared" si="9"/>
        <v>LM</v>
      </c>
    </row>
    <row r="120" spans="1:20" ht="31.5">
      <c r="A120" s="11" t="s">
        <v>257</v>
      </c>
      <c r="B120" s="18">
        <v>45563</v>
      </c>
      <c r="C120" s="18" t="str">
        <f t="shared" si="8"/>
        <v>September</v>
      </c>
      <c r="D120" s="11" t="s">
        <v>99</v>
      </c>
      <c r="E120" s="11" t="s">
        <v>100</v>
      </c>
      <c r="F120" s="11" t="s">
        <v>105</v>
      </c>
      <c r="G120" s="11" t="s">
        <v>106</v>
      </c>
      <c r="H120" s="11" t="s">
        <v>46</v>
      </c>
      <c r="I120" s="17">
        <v>2</v>
      </c>
      <c r="J120" s="17">
        <v>299.99</v>
      </c>
      <c r="K120" s="11" t="s">
        <v>57</v>
      </c>
      <c r="L120" s="11" t="s">
        <v>21</v>
      </c>
      <c r="M120" s="11" t="s">
        <v>22</v>
      </c>
      <c r="N120" s="18">
        <v>44569</v>
      </c>
      <c r="O120" s="19">
        <v>599.98</v>
      </c>
      <c r="P120" s="3">
        <f t="shared" ca="1" si="5"/>
        <v>124</v>
      </c>
      <c r="Q120" s="3" t="str">
        <f t="shared" si="6"/>
        <v>Normal</v>
      </c>
      <c r="R120" s="3">
        <f t="shared" si="7"/>
        <v>26</v>
      </c>
      <c r="T120" s="21" t="str">
        <f t="shared" si="9"/>
        <v>PM</v>
      </c>
    </row>
    <row r="121" spans="1:20" ht="31.5">
      <c r="A121" s="11" t="s">
        <v>258</v>
      </c>
      <c r="B121" s="18">
        <v>45564</v>
      </c>
      <c r="C121" s="18" t="str">
        <f t="shared" si="8"/>
        <v>September</v>
      </c>
      <c r="D121" s="11" t="s">
        <v>259</v>
      </c>
      <c r="E121" s="11" t="s">
        <v>260</v>
      </c>
      <c r="F121" s="11" t="s">
        <v>126</v>
      </c>
      <c r="G121" s="11" t="s">
        <v>127</v>
      </c>
      <c r="H121" s="11" t="s">
        <v>46</v>
      </c>
      <c r="I121" s="17">
        <v>1</v>
      </c>
      <c r="J121" s="17">
        <v>199.99</v>
      </c>
      <c r="K121" s="11" t="s">
        <v>57</v>
      </c>
      <c r="L121" s="11" t="s">
        <v>63</v>
      </c>
      <c r="M121" s="11" t="s">
        <v>36</v>
      </c>
      <c r="N121" s="18">
        <v>44953</v>
      </c>
      <c r="O121" s="19">
        <v>199.99</v>
      </c>
      <c r="P121" s="3">
        <f t="shared" ca="1" si="5"/>
        <v>125</v>
      </c>
      <c r="Q121" s="3" t="str">
        <f t="shared" si="6"/>
        <v>Normal</v>
      </c>
      <c r="R121" s="3">
        <f t="shared" si="7"/>
        <v>15</v>
      </c>
      <c r="T121" s="21" t="str">
        <f t="shared" si="9"/>
        <v>RL</v>
      </c>
    </row>
    <row r="122" spans="1:20" ht="31.5">
      <c r="A122" s="11" t="s">
        <v>261</v>
      </c>
      <c r="B122" s="18">
        <v>45566</v>
      </c>
      <c r="C122" s="18" t="str">
        <f t="shared" si="8"/>
        <v>October</v>
      </c>
      <c r="D122" s="11" t="s">
        <v>42</v>
      </c>
      <c r="E122" s="11" t="s">
        <v>43</v>
      </c>
      <c r="F122" s="11" t="s">
        <v>105</v>
      </c>
      <c r="G122" s="11" t="s">
        <v>106</v>
      </c>
      <c r="H122" s="11" t="s">
        <v>46</v>
      </c>
      <c r="I122" s="17">
        <v>4</v>
      </c>
      <c r="J122" s="17">
        <v>299.99</v>
      </c>
      <c r="K122" s="11" t="s">
        <v>20</v>
      </c>
      <c r="L122" s="11" t="s">
        <v>21</v>
      </c>
      <c r="M122" s="11" t="s">
        <v>27</v>
      </c>
      <c r="N122" s="18">
        <v>44460</v>
      </c>
      <c r="O122" s="19">
        <v>1199.96</v>
      </c>
      <c r="P122" s="3">
        <f t="shared" ca="1" si="5"/>
        <v>123</v>
      </c>
      <c r="Q122" s="3" t="str">
        <f t="shared" si="6"/>
        <v>Normal</v>
      </c>
      <c r="R122" s="3">
        <f t="shared" si="7"/>
        <v>26</v>
      </c>
      <c r="T122" s="21" t="str">
        <f t="shared" si="9"/>
        <v>MB</v>
      </c>
    </row>
    <row r="123" spans="1:20">
      <c r="A123" s="11" t="s">
        <v>262</v>
      </c>
      <c r="B123" s="18">
        <v>45572</v>
      </c>
      <c r="C123" s="18" t="str">
        <f t="shared" si="8"/>
        <v>October</v>
      </c>
      <c r="D123" s="11" t="s">
        <v>89</v>
      </c>
      <c r="E123" s="11" t="s">
        <v>90</v>
      </c>
      <c r="F123" s="11" t="s">
        <v>31</v>
      </c>
      <c r="G123" s="11" t="s">
        <v>32</v>
      </c>
      <c r="H123" s="11" t="s">
        <v>33</v>
      </c>
      <c r="I123" s="17">
        <v>2</v>
      </c>
      <c r="J123" s="17">
        <v>59.99</v>
      </c>
      <c r="K123" s="11" t="s">
        <v>26</v>
      </c>
      <c r="L123" s="11" t="s">
        <v>21</v>
      </c>
      <c r="M123" s="11" t="s">
        <v>22</v>
      </c>
      <c r="N123" s="18">
        <v>44579</v>
      </c>
      <c r="O123" s="19">
        <v>119.98</v>
      </c>
      <c r="P123" s="3">
        <f t="shared" ca="1" si="5"/>
        <v>126</v>
      </c>
      <c r="Q123" s="3" t="str">
        <f t="shared" si="6"/>
        <v>Normal</v>
      </c>
      <c r="R123" s="3">
        <f t="shared" si="7"/>
        <v>29</v>
      </c>
      <c r="T123" s="21" t="str">
        <f t="shared" si="9"/>
        <v>MG</v>
      </c>
    </row>
    <row r="124" spans="1:20" ht="31.5">
      <c r="A124" s="11" t="s">
        <v>263</v>
      </c>
      <c r="B124" s="18">
        <v>45572</v>
      </c>
      <c r="C124" s="18" t="str">
        <f t="shared" si="8"/>
        <v>October</v>
      </c>
      <c r="D124" s="11" t="s">
        <v>234</v>
      </c>
      <c r="E124" s="11" t="s">
        <v>235</v>
      </c>
      <c r="F124" s="11" t="s">
        <v>52</v>
      </c>
      <c r="G124" s="11" t="s">
        <v>53</v>
      </c>
      <c r="H124" s="11" t="s">
        <v>19</v>
      </c>
      <c r="I124" s="17">
        <v>4</v>
      </c>
      <c r="J124" s="17">
        <v>149.99</v>
      </c>
      <c r="K124" s="11" t="s">
        <v>26</v>
      </c>
      <c r="L124" s="11" t="s">
        <v>40</v>
      </c>
      <c r="M124" s="11" t="s">
        <v>27</v>
      </c>
      <c r="N124" s="18">
        <v>45076</v>
      </c>
      <c r="O124" s="19">
        <v>599.96</v>
      </c>
      <c r="P124" s="3">
        <f t="shared" ca="1" si="5"/>
        <v>124</v>
      </c>
      <c r="Q124" s="3" t="str">
        <f t="shared" si="6"/>
        <v>Normal</v>
      </c>
      <c r="R124" s="3">
        <f t="shared" si="7"/>
        <v>16</v>
      </c>
      <c r="T124" s="21" t="str">
        <f t="shared" si="9"/>
        <v>SP</v>
      </c>
    </row>
    <row r="125" spans="1:20">
      <c r="A125" s="11" t="s">
        <v>264</v>
      </c>
      <c r="B125" s="18">
        <v>45573</v>
      </c>
      <c r="C125" s="18" t="str">
        <f t="shared" si="8"/>
        <v>October</v>
      </c>
      <c r="D125" s="11" t="s">
        <v>211</v>
      </c>
      <c r="E125" s="11" t="s">
        <v>212</v>
      </c>
      <c r="F125" s="11" t="s">
        <v>80</v>
      </c>
      <c r="G125" s="11" t="s">
        <v>81</v>
      </c>
      <c r="H125" s="11" t="s">
        <v>19</v>
      </c>
      <c r="I125" s="17">
        <v>2</v>
      </c>
      <c r="J125" s="17">
        <v>699.99</v>
      </c>
      <c r="K125" s="11" t="s">
        <v>57</v>
      </c>
      <c r="L125" s="11" t="s">
        <v>63</v>
      </c>
      <c r="M125" s="11" t="s">
        <v>27</v>
      </c>
      <c r="N125" s="18">
        <v>45274</v>
      </c>
      <c r="O125" s="19">
        <v>1399.98</v>
      </c>
      <c r="P125" s="3">
        <f t="shared" ca="1" si="5"/>
        <v>122</v>
      </c>
      <c r="Q125" s="3" t="str">
        <f t="shared" si="6"/>
        <v>Normal</v>
      </c>
      <c r="R125" s="3">
        <f t="shared" si="7"/>
        <v>31</v>
      </c>
      <c r="T125" s="21" t="str">
        <f t="shared" si="9"/>
        <v>EH</v>
      </c>
    </row>
    <row r="126" spans="1:20">
      <c r="A126" s="11" t="s">
        <v>265</v>
      </c>
      <c r="B126" s="18">
        <v>45573</v>
      </c>
      <c r="C126" s="18" t="str">
        <f t="shared" si="8"/>
        <v>October</v>
      </c>
      <c r="D126" s="11" t="s">
        <v>231</v>
      </c>
      <c r="E126" s="11" t="s">
        <v>232</v>
      </c>
      <c r="F126" s="11" t="s">
        <v>44</v>
      </c>
      <c r="G126" s="11" t="s">
        <v>45</v>
      </c>
      <c r="H126" s="11" t="s">
        <v>46</v>
      </c>
      <c r="I126" s="17">
        <v>3</v>
      </c>
      <c r="J126" s="17">
        <v>149.99</v>
      </c>
      <c r="K126" s="11" t="s">
        <v>26</v>
      </c>
      <c r="L126" s="11" t="s">
        <v>35</v>
      </c>
      <c r="M126" s="11" t="s">
        <v>36</v>
      </c>
      <c r="N126" s="18">
        <v>44940</v>
      </c>
      <c r="O126" s="19">
        <v>449.97</v>
      </c>
      <c r="P126" s="3">
        <f t="shared" ca="1" si="5"/>
        <v>125</v>
      </c>
      <c r="Q126" s="3" t="str">
        <f t="shared" si="6"/>
        <v>Normal</v>
      </c>
      <c r="R126" s="3">
        <f t="shared" si="7"/>
        <v>35</v>
      </c>
      <c r="T126" s="21" t="str">
        <f t="shared" si="9"/>
        <v>CE</v>
      </c>
    </row>
    <row r="127" spans="1:20">
      <c r="A127" s="11" t="s">
        <v>266</v>
      </c>
      <c r="B127" s="18">
        <v>45576</v>
      </c>
      <c r="C127" s="18" t="str">
        <f t="shared" si="8"/>
        <v>October</v>
      </c>
      <c r="D127" s="11" t="s">
        <v>147</v>
      </c>
      <c r="E127" s="11" t="s">
        <v>148</v>
      </c>
      <c r="F127" s="11" t="s">
        <v>105</v>
      </c>
      <c r="G127" s="11" t="s">
        <v>106</v>
      </c>
      <c r="H127" s="11" t="s">
        <v>46</v>
      </c>
      <c r="I127" s="17">
        <v>3</v>
      </c>
      <c r="J127" s="17">
        <v>299.99</v>
      </c>
      <c r="K127" s="11" t="s">
        <v>26</v>
      </c>
      <c r="L127" s="11" t="s">
        <v>21</v>
      </c>
      <c r="M127" s="11" t="s">
        <v>36</v>
      </c>
      <c r="N127" s="18">
        <v>45174</v>
      </c>
      <c r="O127" s="19">
        <v>899.97</v>
      </c>
      <c r="P127" s="3">
        <f t="shared" ca="1" si="5"/>
        <v>123</v>
      </c>
      <c r="Q127" s="3" t="str">
        <f t="shared" si="6"/>
        <v>Normal</v>
      </c>
      <c r="R127" s="3">
        <f t="shared" si="7"/>
        <v>26</v>
      </c>
      <c r="T127" s="21" t="str">
        <f t="shared" si="9"/>
        <v>DK</v>
      </c>
    </row>
    <row r="128" spans="1:20" ht="31.5">
      <c r="A128" s="11" t="s">
        <v>267</v>
      </c>
      <c r="B128" s="18">
        <v>45579</v>
      </c>
      <c r="C128" s="18" t="str">
        <f t="shared" si="8"/>
        <v>October</v>
      </c>
      <c r="D128" s="11" t="s">
        <v>83</v>
      </c>
      <c r="E128" s="11" t="s">
        <v>84</v>
      </c>
      <c r="F128" s="11" t="s">
        <v>61</v>
      </c>
      <c r="G128" s="11" t="s">
        <v>62</v>
      </c>
      <c r="H128" s="11" t="s">
        <v>19</v>
      </c>
      <c r="I128" s="17">
        <v>3</v>
      </c>
      <c r="J128" s="17">
        <v>899.99</v>
      </c>
      <c r="K128" s="11" t="s">
        <v>34</v>
      </c>
      <c r="L128" s="11" t="s">
        <v>50</v>
      </c>
      <c r="M128" s="11" t="s">
        <v>22</v>
      </c>
      <c r="N128" s="18">
        <v>45215</v>
      </c>
      <c r="O128" s="19">
        <v>2699.97</v>
      </c>
      <c r="P128" s="3">
        <f t="shared" ca="1" si="5"/>
        <v>118</v>
      </c>
      <c r="Q128" s="3" t="str">
        <f t="shared" si="6"/>
        <v>High Value</v>
      </c>
      <c r="R128" s="3">
        <f t="shared" si="7"/>
        <v>24</v>
      </c>
      <c r="T128" s="21" t="str">
        <f t="shared" si="9"/>
        <v>GA</v>
      </c>
    </row>
    <row r="129" spans="1:20">
      <c r="A129" s="11" t="s">
        <v>268</v>
      </c>
      <c r="B129" s="18">
        <v>45581</v>
      </c>
      <c r="C129" s="18" t="str">
        <f t="shared" si="8"/>
        <v>October</v>
      </c>
      <c r="D129" s="11" t="s">
        <v>96</v>
      </c>
      <c r="E129" s="11" t="s">
        <v>97</v>
      </c>
      <c r="F129" s="11" t="s">
        <v>80</v>
      </c>
      <c r="G129" s="11" t="s">
        <v>81</v>
      </c>
      <c r="H129" s="11" t="s">
        <v>19</v>
      </c>
      <c r="I129" s="17">
        <v>5</v>
      </c>
      <c r="J129" s="17">
        <v>699.99</v>
      </c>
      <c r="K129" s="11" t="s">
        <v>20</v>
      </c>
      <c r="L129" s="11" t="s">
        <v>63</v>
      </c>
      <c r="M129" s="11" t="s">
        <v>36</v>
      </c>
      <c r="N129" s="18">
        <v>45008</v>
      </c>
      <c r="O129" s="19">
        <v>3499.95</v>
      </c>
      <c r="P129" s="3">
        <f t="shared" ca="1" si="5"/>
        <v>116</v>
      </c>
      <c r="Q129" s="3" t="str">
        <f t="shared" si="6"/>
        <v>High Value</v>
      </c>
      <c r="R129" s="3">
        <f t="shared" si="7"/>
        <v>31</v>
      </c>
      <c r="T129" s="21" t="str">
        <f t="shared" si="9"/>
        <v>BY</v>
      </c>
    </row>
    <row r="130" spans="1:20">
      <c r="A130" s="11" t="s">
        <v>269</v>
      </c>
      <c r="B130" s="18">
        <v>45581</v>
      </c>
      <c r="C130" s="18" t="str">
        <f t="shared" si="8"/>
        <v>October</v>
      </c>
      <c r="D130" s="11" t="s">
        <v>171</v>
      </c>
      <c r="E130" s="11" t="s">
        <v>172</v>
      </c>
      <c r="F130" s="11" t="s">
        <v>80</v>
      </c>
      <c r="G130" s="11" t="s">
        <v>81</v>
      </c>
      <c r="H130" s="11" t="s">
        <v>19</v>
      </c>
      <c r="I130" s="17">
        <v>4</v>
      </c>
      <c r="J130" s="17">
        <v>699.99</v>
      </c>
      <c r="K130" s="11" t="s">
        <v>26</v>
      </c>
      <c r="L130" s="11" t="s">
        <v>21</v>
      </c>
      <c r="M130" s="11" t="s">
        <v>22</v>
      </c>
      <c r="N130" s="18">
        <v>45385</v>
      </c>
      <c r="O130" s="19">
        <v>2799.96</v>
      </c>
      <c r="P130" s="3">
        <f t="shared" ref="P130:P193" ca="1" si="10">DATEDIF(O130,TODAY(),"Y")</f>
        <v>118</v>
      </c>
      <c r="Q130" s="3" t="str">
        <f t="shared" ref="Q130:Q193" si="11">IF(O130&gt;2000,"High Value","Normal")</f>
        <v>High Value</v>
      </c>
      <c r="R130" s="3">
        <f t="shared" ref="R130:R193" si="12">COUNTIF(G:G,G130)</f>
        <v>31</v>
      </c>
      <c r="T130" s="21" t="str">
        <f t="shared" si="9"/>
        <v>RR</v>
      </c>
    </row>
    <row r="131" spans="1:20">
      <c r="A131" s="11" t="s">
        <v>270</v>
      </c>
      <c r="B131" s="18">
        <v>45581</v>
      </c>
      <c r="C131" s="18" t="str">
        <f t="shared" ref="C131:C194" si="13">TEXT(B131,"mmmm")</f>
        <v>October</v>
      </c>
      <c r="D131" s="11" t="s">
        <v>150</v>
      </c>
      <c r="E131" s="11" t="s">
        <v>151</v>
      </c>
      <c r="F131" s="11" t="s">
        <v>61</v>
      </c>
      <c r="G131" s="11" t="s">
        <v>62</v>
      </c>
      <c r="H131" s="11" t="s">
        <v>19</v>
      </c>
      <c r="I131" s="17">
        <v>1</v>
      </c>
      <c r="J131" s="17">
        <v>899.99</v>
      </c>
      <c r="K131" s="11" t="s">
        <v>26</v>
      </c>
      <c r="L131" s="11" t="s">
        <v>63</v>
      </c>
      <c r="M131" s="11" t="s">
        <v>36</v>
      </c>
      <c r="N131" s="18">
        <v>45369</v>
      </c>
      <c r="O131" s="19">
        <v>899.99</v>
      </c>
      <c r="P131" s="3">
        <f t="shared" ca="1" si="10"/>
        <v>123</v>
      </c>
      <c r="Q131" s="3" t="str">
        <f t="shared" si="11"/>
        <v>Normal</v>
      </c>
      <c r="R131" s="3">
        <f t="shared" si="12"/>
        <v>24</v>
      </c>
      <c r="T131" s="21" t="str">
        <f t="shared" ref="T131:T194" si="14">LEFT(E131,1)&amp;MID(E131,FIND(" ",E131)+1,1)</f>
        <v>SB</v>
      </c>
    </row>
    <row r="132" spans="1:20" ht="31.5">
      <c r="A132" s="11" t="s">
        <v>271</v>
      </c>
      <c r="B132" s="18">
        <v>45583</v>
      </c>
      <c r="C132" s="18" t="str">
        <f t="shared" si="13"/>
        <v>October</v>
      </c>
      <c r="D132" s="11" t="s">
        <v>226</v>
      </c>
      <c r="E132" s="11" t="s">
        <v>227</v>
      </c>
      <c r="F132" s="11" t="s">
        <v>52</v>
      </c>
      <c r="G132" s="11" t="s">
        <v>53</v>
      </c>
      <c r="H132" s="11" t="s">
        <v>19</v>
      </c>
      <c r="I132" s="17">
        <v>2</v>
      </c>
      <c r="J132" s="17">
        <v>149.99</v>
      </c>
      <c r="K132" s="11" t="s">
        <v>26</v>
      </c>
      <c r="L132" s="11" t="s">
        <v>50</v>
      </c>
      <c r="M132" s="11" t="s">
        <v>22</v>
      </c>
      <c r="N132" s="18">
        <v>44916</v>
      </c>
      <c r="O132" s="19">
        <v>299.98</v>
      </c>
      <c r="P132" s="3">
        <f t="shared" ca="1" si="10"/>
        <v>125</v>
      </c>
      <c r="Q132" s="3" t="str">
        <f t="shared" si="11"/>
        <v>Normal</v>
      </c>
      <c r="R132" s="3">
        <f t="shared" si="12"/>
        <v>16</v>
      </c>
      <c r="T132" s="21" t="str">
        <f t="shared" si="14"/>
        <v>LR</v>
      </c>
    </row>
    <row r="133" spans="1:20" ht="31.5">
      <c r="A133" s="11" t="s">
        <v>272</v>
      </c>
      <c r="B133" s="18">
        <v>45586</v>
      </c>
      <c r="C133" s="18" t="str">
        <f t="shared" si="13"/>
        <v>October</v>
      </c>
      <c r="D133" s="11" t="s">
        <v>226</v>
      </c>
      <c r="E133" s="11" t="s">
        <v>227</v>
      </c>
      <c r="F133" s="11" t="s">
        <v>117</v>
      </c>
      <c r="G133" s="11" t="s">
        <v>118</v>
      </c>
      <c r="H133" s="11" t="s">
        <v>19</v>
      </c>
      <c r="I133" s="17">
        <v>3</v>
      </c>
      <c r="J133" s="17">
        <v>89.99</v>
      </c>
      <c r="K133" s="11" t="s">
        <v>34</v>
      </c>
      <c r="L133" s="11" t="s">
        <v>21</v>
      </c>
      <c r="M133" s="11" t="s">
        <v>22</v>
      </c>
      <c r="N133" s="18">
        <v>44551</v>
      </c>
      <c r="O133" s="19">
        <v>269.97000000000003</v>
      </c>
      <c r="P133" s="3">
        <f t="shared" ca="1" si="10"/>
        <v>125</v>
      </c>
      <c r="Q133" s="3" t="str">
        <f t="shared" si="11"/>
        <v>Normal</v>
      </c>
      <c r="R133" s="3">
        <f t="shared" si="12"/>
        <v>34</v>
      </c>
      <c r="T133" s="21" t="str">
        <f t="shared" si="14"/>
        <v>LR</v>
      </c>
    </row>
    <row r="134" spans="1:20" ht="31.5">
      <c r="A134" s="11" t="s">
        <v>273</v>
      </c>
      <c r="B134" s="18">
        <v>45588</v>
      </c>
      <c r="C134" s="18" t="str">
        <f t="shared" si="13"/>
        <v>October</v>
      </c>
      <c r="D134" s="11" t="s">
        <v>38</v>
      </c>
      <c r="E134" s="11" t="s">
        <v>39</v>
      </c>
      <c r="F134" s="11" t="s">
        <v>52</v>
      </c>
      <c r="G134" s="11" t="s">
        <v>53</v>
      </c>
      <c r="H134" s="11" t="s">
        <v>19</v>
      </c>
      <c r="I134" s="17">
        <v>2</v>
      </c>
      <c r="J134" s="17">
        <v>149.99</v>
      </c>
      <c r="K134" s="11" t="s">
        <v>34</v>
      </c>
      <c r="L134" s="11" t="s">
        <v>21</v>
      </c>
      <c r="M134" s="11" t="s">
        <v>22</v>
      </c>
      <c r="N134" s="18">
        <v>44473</v>
      </c>
      <c r="O134" s="19">
        <v>299.98</v>
      </c>
      <c r="P134" s="3">
        <f t="shared" ca="1" si="10"/>
        <v>125</v>
      </c>
      <c r="Q134" s="3" t="str">
        <f t="shared" si="11"/>
        <v>Normal</v>
      </c>
      <c r="R134" s="3">
        <f t="shared" si="12"/>
        <v>16</v>
      </c>
      <c r="T134" s="21" t="str">
        <f t="shared" si="14"/>
        <v>KB</v>
      </c>
    </row>
    <row r="135" spans="1:20">
      <c r="A135" s="11" t="s">
        <v>274</v>
      </c>
      <c r="B135" s="18">
        <v>45588</v>
      </c>
      <c r="C135" s="18" t="str">
        <f t="shared" si="13"/>
        <v>October</v>
      </c>
      <c r="D135" s="11" t="s">
        <v>154</v>
      </c>
      <c r="E135" s="11" t="s">
        <v>155</v>
      </c>
      <c r="F135" s="11" t="s">
        <v>80</v>
      </c>
      <c r="G135" s="11" t="s">
        <v>81</v>
      </c>
      <c r="H135" s="11" t="s">
        <v>19</v>
      </c>
      <c r="I135" s="17">
        <v>2</v>
      </c>
      <c r="J135" s="17">
        <v>699.99</v>
      </c>
      <c r="K135" s="11" t="s">
        <v>20</v>
      </c>
      <c r="L135" s="11" t="s">
        <v>21</v>
      </c>
      <c r="M135" s="11" t="s">
        <v>22</v>
      </c>
      <c r="N135" s="18">
        <v>44992</v>
      </c>
      <c r="O135" s="19">
        <v>1399.98</v>
      </c>
      <c r="P135" s="3">
        <f t="shared" ca="1" si="10"/>
        <v>122</v>
      </c>
      <c r="Q135" s="3" t="str">
        <f t="shared" si="11"/>
        <v>Normal</v>
      </c>
      <c r="R135" s="3">
        <f t="shared" si="12"/>
        <v>31</v>
      </c>
      <c r="T135" s="21" t="str">
        <f t="shared" si="14"/>
        <v>SD</v>
      </c>
    </row>
    <row r="136" spans="1:20" ht="31.5">
      <c r="A136" s="11" t="s">
        <v>275</v>
      </c>
      <c r="B136" s="18">
        <v>45589</v>
      </c>
      <c r="C136" s="18" t="str">
        <f t="shared" si="13"/>
        <v>October</v>
      </c>
      <c r="D136" s="11" t="s">
        <v>158</v>
      </c>
      <c r="E136" s="11" t="s">
        <v>159</v>
      </c>
      <c r="F136" s="11" t="s">
        <v>80</v>
      </c>
      <c r="G136" s="11" t="s">
        <v>81</v>
      </c>
      <c r="H136" s="11" t="s">
        <v>19</v>
      </c>
      <c r="I136" s="17">
        <v>5</v>
      </c>
      <c r="J136" s="17">
        <v>699.99</v>
      </c>
      <c r="K136" s="11" t="s">
        <v>20</v>
      </c>
      <c r="L136" s="11" t="s">
        <v>40</v>
      </c>
      <c r="M136" s="11" t="s">
        <v>27</v>
      </c>
      <c r="N136" s="18">
        <v>44635</v>
      </c>
      <c r="O136" s="19">
        <v>3499.95</v>
      </c>
      <c r="P136" s="3">
        <f t="shared" ca="1" si="10"/>
        <v>116</v>
      </c>
      <c r="Q136" s="3" t="str">
        <f t="shared" si="11"/>
        <v>High Value</v>
      </c>
      <c r="R136" s="3">
        <f t="shared" si="12"/>
        <v>31</v>
      </c>
      <c r="T136" s="21" t="str">
        <f t="shared" si="14"/>
        <v>BC</v>
      </c>
    </row>
    <row r="137" spans="1:20">
      <c r="A137" s="11" t="s">
        <v>276</v>
      </c>
      <c r="B137" s="18">
        <v>45592</v>
      </c>
      <c r="C137" s="18" t="str">
        <f t="shared" si="13"/>
        <v>October</v>
      </c>
      <c r="D137" s="11" t="s">
        <v>171</v>
      </c>
      <c r="E137" s="11" t="s">
        <v>172</v>
      </c>
      <c r="F137" s="11" t="s">
        <v>117</v>
      </c>
      <c r="G137" s="11" t="s">
        <v>118</v>
      </c>
      <c r="H137" s="11" t="s">
        <v>19</v>
      </c>
      <c r="I137" s="17">
        <v>3</v>
      </c>
      <c r="J137" s="17">
        <v>89.99</v>
      </c>
      <c r="K137" s="11" t="s">
        <v>26</v>
      </c>
      <c r="L137" s="11" t="s">
        <v>40</v>
      </c>
      <c r="M137" s="11" t="s">
        <v>36</v>
      </c>
      <c r="N137" s="18">
        <v>44615</v>
      </c>
      <c r="O137" s="19">
        <v>269.97000000000003</v>
      </c>
      <c r="P137" s="3">
        <f t="shared" ca="1" si="10"/>
        <v>125</v>
      </c>
      <c r="Q137" s="3" t="str">
        <f t="shared" si="11"/>
        <v>Normal</v>
      </c>
      <c r="R137" s="3">
        <f t="shared" si="12"/>
        <v>34</v>
      </c>
      <c r="T137" s="21" t="str">
        <f t="shared" si="14"/>
        <v>RR</v>
      </c>
    </row>
    <row r="138" spans="1:20">
      <c r="A138" s="11" t="s">
        <v>277</v>
      </c>
      <c r="B138" s="18">
        <v>45597</v>
      </c>
      <c r="C138" s="18" t="str">
        <f t="shared" si="13"/>
        <v>November</v>
      </c>
      <c r="D138" s="11" t="s">
        <v>15</v>
      </c>
      <c r="E138" s="11" t="s">
        <v>16</v>
      </c>
      <c r="F138" s="11" t="s">
        <v>17</v>
      </c>
      <c r="G138" s="11" t="s">
        <v>18</v>
      </c>
      <c r="H138" s="11" t="s">
        <v>19</v>
      </c>
      <c r="I138" s="17">
        <v>5</v>
      </c>
      <c r="J138" s="17">
        <v>249.99</v>
      </c>
      <c r="K138" s="11" t="s">
        <v>26</v>
      </c>
      <c r="L138" s="11" t="s">
        <v>35</v>
      </c>
      <c r="M138" s="11" t="s">
        <v>36</v>
      </c>
      <c r="N138" s="18">
        <v>44881</v>
      </c>
      <c r="O138" s="19">
        <v>1249.95</v>
      </c>
      <c r="P138" s="3">
        <f t="shared" ca="1" si="10"/>
        <v>122</v>
      </c>
      <c r="Q138" s="3" t="str">
        <f t="shared" si="11"/>
        <v>Normal</v>
      </c>
      <c r="R138" s="3">
        <f t="shared" si="12"/>
        <v>26</v>
      </c>
      <c r="T138" s="21" t="str">
        <f t="shared" si="14"/>
        <v>PB</v>
      </c>
    </row>
    <row r="139" spans="1:20">
      <c r="A139" s="11" t="s">
        <v>278</v>
      </c>
      <c r="B139" s="18">
        <v>45600</v>
      </c>
      <c r="C139" s="18" t="str">
        <f t="shared" si="13"/>
        <v>November</v>
      </c>
      <c r="D139" s="11" t="s">
        <v>65</v>
      </c>
      <c r="E139" s="11" t="s">
        <v>66</v>
      </c>
      <c r="F139" s="11" t="s">
        <v>105</v>
      </c>
      <c r="G139" s="11" t="s">
        <v>106</v>
      </c>
      <c r="H139" s="11" t="s">
        <v>46</v>
      </c>
      <c r="I139" s="17">
        <v>3</v>
      </c>
      <c r="J139" s="17">
        <v>299.99</v>
      </c>
      <c r="K139" s="11" t="s">
        <v>26</v>
      </c>
      <c r="L139" s="11" t="s">
        <v>35</v>
      </c>
      <c r="M139" s="11" t="s">
        <v>36</v>
      </c>
      <c r="N139" s="18">
        <v>44502</v>
      </c>
      <c r="O139" s="19">
        <v>899.97</v>
      </c>
      <c r="P139" s="3">
        <f t="shared" ca="1" si="10"/>
        <v>123</v>
      </c>
      <c r="Q139" s="3" t="str">
        <f t="shared" si="11"/>
        <v>Normal</v>
      </c>
      <c r="R139" s="3">
        <f t="shared" si="12"/>
        <v>26</v>
      </c>
      <c r="T139" s="21" t="str">
        <f t="shared" si="14"/>
        <v>KH</v>
      </c>
    </row>
    <row r="140" spans="1:20" ht="31.5">
      <c r="A140" s="11" t="s">
        <v>279</v>
      </c>
      <c r="B140" s="18">
        <v>45603</v>
      </c>
      <c r="C140" s="18" t="str">
        <f t="shared" si="13"/>
        <v>November</v>
      </c>
      <c r="D140" s="11" t="s">
        <v>99</v>
      </c>
      <c r="E140" s="11" t="s">
        <v>100</v>
      </c>
      <c r="F140" s="11" t="s">
        <v>117</v>
      </c>
      <c r="G140" s="11" t="s">
        <v>118</v>
      </c>
      <c r="H140" s="11" t="s">
        <v>19</v>
      </c>
      <c r="I140" s="17">
        <v>3</v>
      </c>
      <c r="J140" s="17">
        <v>89.99</v>
      </c>
      <c r="K140" s="11" t="s">
        <v>26</v>
      </c>
      <c r="L140" s="11" t="s">
        <v>40</v>
      </c>
      <c r="M140" s="11" t="s">
        <v>27</v>
      </c>
      <c r="N140" s="18">
        <v>44420</v>
      </c>
      <c r="O140" s="19">
        <v>269.97000000000003</v>
      </c>
      <c r="P140" s="3">
        <f t="shared" ca="1" si="10"/>
        <v>125</v>
      </c>
      <c r="Q140" s="3" t="str">
        <f t="shared" si="11"/>
        <v>Normal</v>
      </c>
      <c r="R140" s="3">
        <f t="shared" si="12"/>
        <v>34</v>
      </c>
      <c r="T140" s="21" t="str">
        <f t="shared" si="14"/>
        <v>PM</v>
      </c>
    </row>
    <row r="141" spans="1:20">
      <c r="A141" s="11" t="s">
        <v>280</v>
      </c>
      <c r="B141" s="18">
        <v>45604</v>
      </c>
      <c r="C141" s="18" t="str">
        <f t="shared" si="13"/>
        <v>November</v>
      </c>
      <c r="D141" s="11" t="s">
        <v>89</v>
      </c>
      <c r="E141" s="11" t="s">
        <v>90</v>
      </c>
      <c r="F141" s="11" t="s">
        <v>44</v>
      </c>
      <c r="G141" s="11" t="s">
        <v>45</v>
      </c>
      <c r="H141" s="11" t="s">
        <v>46</v>
      </c>
      <c r="I141" s="17">
        <v>2</v>
      </c>
      <c r="J141" s="17">
        <v>149.99</v>
      </c>
      <c r="K141" s="11" t="s">
        <v>26</v>
      </c>
      <c r="L141" s="11" t="s">
        <v>50</v>
      </c>
      <c r="M141" s="11" t="s">
        <v>27</v>
      </c>
      <c r="N141" s="18">
        <v>44848</v>
      </c>
      <c r="O141" s="19">
        <v>299.98</v>
      </c>
      <c r="P141" s="3">
        <f t="shared" ca="1" si="10"/>
        <v>125</v>
      </c>
      <c r="Q141" s="3" t="str">
        <f t="shared" si="11"/>
        <v>Normal</v>
      </c>
      <c r="R141" s="3">
        <f t="shared" si="12"/>
        <v>35</v>
      </c>
      <c r="T141" s="21" t="str">
        <f t="shared" si="14"/>
        <v>MG</v>
      </c>
    </row>
    <row r="142" spans="1:20" ht="31.5">
      <c r="A142" s="11" t="s">
        <v>281</v>
      </c>
      <c r="B142" s="18">
        <v>45605</v>
      </c>
      <c r="C142" s="18" t="str">
        <f t="shared" si="13"/>
        <v>November</v>
      </c>
      <c r="D142" s="11" t="s">
        <v>185</v>
      </c>
      <c r="E142" s="11" t="s">
        <v>186</v>
      </c>
      <c r="F142" s="11" t="s">
        <v>17</v>
      </c>
      <c r="G142" s="11" t="s">
        <v>18</v>
      </c>
      <c r="H142" s="11" t="s">
        <v>19</v>
      </c>
      <c r="I142" s="17">
        <v>1</v>
      </c>
      <c r="J142" s="17">
        <v>249.99</v>
      </c>
      <c r="K142" s="11" t="s">
        <v>26</v>
      </c>
      <c r="L142" s="11" t="s">
        <v>40</v>
      </c>
      <c r="M142" s="11" t="s">
        <v>27</v>
      </c>
      <c r="N142" s="18">
        <v>44828</v>
      </c>
      <c r="O142" s="19">
        <v>249.99</v>
      </c>
      <c r="P142" s="3">
        <f t="shared" ca="1" si="10"/>
        <v>125</v>
      </c>
      <c r="Q142" s="3" t="str">
        <f t="shared" si="11"/>
        <v>Normal</v>
      </c>
      <c r="R142" s="3">
        <f t="shared" si="12"/>
        <v>26</v>
      </c>
      <c r="T142" s="21" t="str">
        <f t="shared" si="14"/>
        <v>MW</v>
      </c>
    </row>
    <row r="143" spans="1:20" ht="31.5">
      <c r="A143" s="11" t="s">
        <v>282</v>
      </c>
      <c r="B143" s="18">
        <v>45607</v>
      </c>
      <c r="C143" s="18" t="str">
        <f t="shared" si="13"/>
        <v>November</v>
      </c>
      <c r="D143" s="11" t="s">
        <v>72</v>
      </c>
      <c r="E143" s="11" t="s">
        <v>73</v>
      </c>
      <c r="F143" s="11" t="s">
        <v>52</v>
      </c>
      <c r="G143" s="11" t="s">
        <v>53</v>
      </c>
      <c r="H143" s="11" t="s">
        <v>19</v>
      </c>
      <c r="I143" s="17">
        <v>3</v>
      </c>
      <c r="J143" s="17">
        <v>149.99</v>
      </c>
      <c r="K143" s="11" t="s">
        <v>20</v>
      </c>
      <c r="L143" s="11" t="s">
        <v>40</v>
      </c>
      <c r="M143" s="11" t="s">
        <v>22</v>
      </c>
      <c r="N143" s="18">
        <v>44769</v>
      </c>
      <c r="O143" s="19">
        <v>449.97</v>
      </c>
      <c r="P143" s="3">
        <f t="shared" ca="1" si="10"/>
        <v>125</v>
      </c>
      <c r="Q143" s="3" t="str">
        <f t="shared" si="11"/>
        <v>Normal</v>
      </c>
      <c r="R143" s="3">
        <f t="shared" si="12"/>
        <v>16</v>
      </c>
      <c r="T143" s="21" t="str">
        <f t="shared" si="14"/>
        <v>PR</v>
      </c>
    </row>
    <row r="144" spans="1:20">
      <c r="A144" s="11" t="s">
        <v>283</v>
      </c>
      <c r="B144" s="18">
        <v>45607</v>
      </c>
      <c r="C144" s="18" t="str">
        <f t="shared" si="13"/>
        <v>November</v>
      </c>
      <c r="D144" s="11" t="s">
        <v>15</v>
      </c>
      <c r="E144" s="11" t="s">
        <v>16</v>
      </c>
      <c r="F144" s="11" t="s">
        <v>31</v>
      </c>
      <c r="G144" s="11" t="s">
        <v>32</v>
      </c>
      <c r="H144" s="11" t="s">
        <v>33</v>
      </c>
      <c r="I144" s="17">
        <v>5</v>
      </c>
      <c r="J144" s="17">
        <v>59.99</v>
      </c>
      <c r="K144" s="11" t="s">
        <v>34</v>
      </c>
      <c r="L144" s="11" t="s">
        <v>50</v>
      </c>
      <c r="M144" s="11" t="s">
        <v>27</v>
      </c>
      <c r="N144" s="18">
        <v>44694</v>
      </c>
      <c r="O144" s="19">
        <v>299.95</v>
      </c>
      <c r="P144" s="3">
        <f t="shared" ca="1" si="10"/>
        <v>125</v>
      </c>
      <c r="Q144" s="3" t="str">
        <f t="shared" si="11"/>
        <v>Normal</v>
      </c>
      <c r="R144" s="3">
        <f t="shared" si="12"/>
        <v>29</v>
      </c>
      <c r="T144" s="21" t="str">
        <f t="shared" si="14"/>
        <v>PB</v>
      </c>
    </row>
    <row r="145" spans="1:20" ht="31.5">
      <c r="A145" s="11" t="s">
        <v>284</v>
      </c>
      <c r="B145" s="18">
        <v>45607</v>
      </c>
      <c r="C145" s="18" t="str">
        <f t="shared" si="13"/>
        <v>November</v>
      </c>
      <c r="D145" s="11" t="s">
        <v>99</v>
      </c>
      <c r="E145" s="11" t="s">
        <v>100</v>
      </c>
      <c r="F145" s="11" t="s">
        <v>17</v>
      </c>
      <c r="G145" s="11" t="s">
        <v>18</v>
      </c>
      <c r="H145" s="11" t="s">
        <v>19</v>
      </c>
      <c r="I145" s="17">
        <v>4</v>
      </c>
      <c r="J145" s="17">
        <v>249.99</v>
      </c>
      <c r="K145" s="11" t="s">
        <v>26</v>
      </c>
      <c r="L145" s="11" t="s">
        <v>50</v>
      </c>
      <c r="M145" s="11" t="s">
        <v>36</v>
      </c>
      <c r="N145" s="18">
        <v>44659</v>
      </c>
      <c r="O145" s="19">
        <v>999.96</v>
      </c>
      <c r="P145" s="3">
        <f t="shared" ca="1" si="10"/>
        <v>123</v>
      </c>
      <c r="Q145" s="3" t="str">
        <f t="shared" si="11"/>
        <v>Normal</v>
      </c>
      <c r="R145" s="3">
        <f t="shared" si="12"/>
        <v>26</v>
      </c>
      <c r="T145" s="21" t="str">
        <f t="shared" si="14"/>
        <v>PM</v>
      </c>
    </row>
    <row r="146" spans="1:20">
      <c r="A146" s="11" t="s">
        <v>285</v>
      </c>
      <c r="B146" s="18">
        <v>45608</v>
      </c>
      <c r="C146" s="18" t="str">
        <f t="shared" si="13"/>
        <v>November</v>
      </c>
      <c r="D146" s="11" t="s">
        <v>154</v>
      </c>
      <c r="E146" s="11" t="s">
        <v>155</v>
      </c>
      <c r="F146" s="11" t="s">
        <v>44</v>
      </c>
      <c r="G146" s="11" t="s">
        <v>45</v>
      </c>
      <c r="H146" s="11" t="s">
        <v>46</v>
      </c>
      <c r="I146" s="17">
        <v>5</v>
      </c>
      <c r="J146" s="17">
        <v>149.99</v>
      </c>
      <c r="K146" s="11" t="s">
        <v>34</v>
      </c>
      <c r="L146" s="11" t="s">
        <v>21</v>
      </c>
      <c r="M146" s="11" t="s">
        <v>22</v>
      </c>
      <c r="N146" s="18">
        <v>44901</v>
      </c>
      <c r="O146" s="19">
        <v>749.95</v>
      </c>
      <c r="P146" s="3">
        <f t="shared" ca="1" si="10"/>
        <v>124</v>
      </c>
      <c r="Q146" s="3" t="str">
        <f t="shared" si="11"/>
        <v>Normal</v>
      </c>
      <c r="R146" s="3">
        <f t="shared" si="12"/>
        <v>35</v>
      </c>
      <c r="T146" s="21" t="str">
        <f t="shared" si="14"/>
        <v>SD</v>
      </c>
    </row>
    <row r="147" spans="1:20" ht="31.5">
      <c r="A147" s="11" t="s">
        <v>286</v>
      </c>
      <c r="B147" s="18">
        <v>45608</v>
      </c>
      <c r="C147" s="18" t="str">
        <f t="shared" si="13"/>
        <v>November</v>
      </c>
      <c r="D147" s="11" t="s">
        <v>83</v>
      </c>
      <c r="E147" s="11" t="s">
        <v>84</v>
      </c>
      <c r="F147" s="11" t="s">
        <v>31</v>
      </c>
      <c r="G147" s="11" t="s">
        <v>32</v>
      </c>
      <c r="H147" s="11" t="s">
        <v>33</v>
      </c>
      <c r="I147" s="17">
        <v>3</v>
      </c>
      <c r="J147" s="17">
        <v>59.99</v>
      </c>
      <c r="K147" s="11" t="s">
        <v>57</v>
      </c>
      <c r="L147" s="11" t="s">
        <v>35</v>
      </c>
      <c r="M147" s="11" t="s">
        <v>36</v>
      </c>
      <c r="N147" s="18">
        <v>45260</v>
      </c>
      <c r="O147" s="19">
        <v>179.97</v>
      </c>
      <c r="P147" s="3">
        <f t="shared" ca="1" si="10"/>
        <v>125</v>
      </c>
      <c r="Q147" s="3" t="str">
        <f t="shared" si="11"/>
        <v>Normal</v>
      </c>
      <c r="R147" s="3">
        <f t="shared" si="12"/>
        <v>29</v>
      </c>
      <c r="T147" s="21" t="str">
        <f t="shared" si="14"/>
        <v>GA</v>
      </c>
    </row>
    <row r="148" spans="1:20" ht="31.5">
      <c r="A148" s="11" t="s">
        <v>287</v>
      </c>
      <c r="B148" s="18">
        <v>45613</v>
      </c>
      <c r="C148" s="18" t="str">
        <f t="shared" si="13"/>
        <v>November</v>
      </c>
      <c r="D148" s="11" t="s">
        <v>234</v>
      </c>
      <c r="E148" s="11" t="s">
        <v>235</v>
      </c>
      <c r="F148" s="11" t="s">
        <v>44</v>
      </c>
      <c r="G148" s="11" t="s">
        <v>45</v>
      </c>
      <c r="H148" s="11" t="s">
        <v>46</v>
      </c>
      <c r="I148" s="17">
        <v>5</v>
      </c>
      <c r="J148" s="17">
        <v>149.99</v>
      </c>
      <c r="K148" s="11" t="s">
        <v>20</v>
      </c>
      <c r="L148" s="11" t="s">
        <v>40</v>
      </c>
      <c r="M148" s="11" t="s">
        <v>22</v>
      </c>
      <c r="N148" s="18">
        <v>44869</v>
      </c>
      <c r="O148" s="19">
        <v>749.95</v>
      </c>
      <c r="P148" s="3">
        <f t="shared" ca="1" si="10"/>
        <v>124</v>
      </c>
      <c r="Q148" s="3" t="str">
        <f t="shared" si="11"/>
        <v>Normal</v>
      </c>
      <c r="R148" s="3">
        <f t="shared" si="12"/>
        <v>35</v>
      </c>
      <c r="T148" s="21" t="str">
        <f t="shared" si="14"/>
        <v>SP</v>
      </c>
    </row>
    <row r="149" spans="1:20">
      <c r="A149" s="11" t="s">
        <v>288</v>
      </c>
      <c r="B149" s="18">
        <v>45613</v>
      </c>
      <c r="C149" s="18" t="str">
        <f t="shared" si="13"/>
        <v>November</v>
      </c>
      <c r="D149" s="11" t="s">
        <v>86</v>
      </c>
      <c r="E149" s="11" t="s">
        <v>87</v>
      </c>
      <c r="F149" s="11" t="s">
        <v>80</v>
      </c>
      <c r="G149" s="11" t="s">
        <v>81</v>
      </c>
      <c r="H149" s="11" t="s">
        <v>19</v>
      </c>
      <c r="I149" s="17">
        <v>2</v>
      </c>
      <c r="J149" s="17">
        <v>699.99</v>
      </c>
      <c r="K149" s="11" t="s">
        <v>34</v>
      </c>
      <c r="L149" s="11" t="s">
        <v>50</v>
      </c>
      <c r="M149" s="11" t="s">
        <v>36</v>
      </c>
      <c r="N149" s="18">
        <v>44770</v>
      </c>
      <c r="O149" s="19">
        <v>1399.98</v>
      </c>
      <c r="P149" s="3">
        <f t="shared" ca="1" si="10"/>
        <v>122</v>
      </c>
      <c r="Q149" s="3" t="str">
        <f t="shared" si="11"/>
        <v>Normal</v>
      </c>
      <c r="R149" s="3">
        <f t="shared" si="12"/>
        <v>31</v>
      </c>
      <c r="T149" s="21" t="str">
        <f t="shared" si="14"/>
        <v>MC</v>
      </c>
    </row>
    <row r="150" spans="1:20" ht="31.5">
      <c r="A150" s="11" t="s">
        <v>289</v>
      </c>
      <c r="B150" s="18">
        <v>45617</v>
      </c>
      <c r="C150" s="18" t="str">
        <f t="shared" si="13"/>
        <v>November</v>
      </c>
      <c r="D150" s="11" t="s">
        <v>123</v>
      </c>
      <c r="E150" s="11" t="s">
        <v>124</v>
      </c>
      <c r="F150" s="11" t="s">
        <v>126</v>
      </c>
      <c r="G150" s="11" t="s">
        <v>127</v>
      </c>
      <c r="H150" s="11" t="s">
        <v>46</v>
      </c>
      <c r="I150" s="17">
        <v>4</v>
      </c>
      <c r="J150" s="17">
        <v>199.99</v>
      </c>
      <c r="K150" s="11" t="s">
        <v>57</v>
      </c>
      <c r="L150" s="11" t="s">
        <v>21</v>
      </c>
      <c r="M150" s="11" t="s">
        <v>27</v>
      </c>
      <c r="N150" s="18">
        <v>44427</v>
      </c>
      <c r="O150" s="19">
        <v>799.96</v>
      </c>
      <c r="P150" s="3">
        <f t="shared" ca="1" si="10"/>
        <v>124</v>
      </c>
      <c r="Q150" s="3" t="str">
        <f t="shared" si="11"/>
        <v>Normal</v>
      </c>
      <c r="R150" s="3">
        <f t="shared" si="12"/>
        <v>15</v>
      </c>
      <c r="T150" s="21" t="str">
        <f t="shared" si="14"/>
        <v>EM</v>
      </c>
    </row>
    <row r="151" spans="1:20">
      <c r="A151" s="11" t="s">
        <v>290</v>
      </c>
      <c r="B151" s="18">
        <v>45619</v>
      </c>
      <c r="C151" s="18" t="str">
        <f t="shared" si="13"/>
        <v>November</v>
      </c>
      <c r="D151" s="11" t="s">
        <v>192</v>
      </c>
      <c r="E151" s="11" t="s">
        <v>193</v>
      </c>
      <c r="F151" s="11" t="s">
        <v>31</v>
      </c>
      <c r="G151" s="11" t="s">
        <v>32</v>
      </c>
      <c r="H151" s="11" t="s">
        <v>33</v>
      </c>
      <c r="I151" s="17">
        <v>1</v>
      </c>
      <c r="J151" s="17">
        <v>59.99</v>
      </c>
      <c r="K151" s="11" t="s">
        <v>57</v>
      </c>
      <c r="L151" s="11" t="s">
        <v>50</v>
      </c>
      <c r="M151" s="11" t="s">
        <v>36</v>
      </c>
      <c r="N151" s="18">
        <v>44560</v>
      </c>
      <c r="O151" s="19">
        <v>59.99</v>
      </c>
      <c r="P151" s="3">
        <f t="shared" ca="1" si="10"/>
        <v>126</v>
      </c>
      <c r="Q151" s="3" t="str">
        <f t="shared" si="11"/>
        <v>Normal</v>
      </c>
      <c r="R151" s="3">
        <f t="shared" si="12"/>
        <v>29</v>
      </c>
      <c r="T151" s="21" t="str">
        <f t="shared" si="14"/>
        <v>FT</v>
      </c>
    </row>
    <row r="152" spans="1:20">
      <c r="A152" s="11" t="s">
        <v>291</v>
      </c>
      <c r="B152" s="18">
        <v>45619</v>
      </c>
      <c r="C152" s="18" t="str">
        <f t="shared" si="13"/>
        <v>November</v>
      </c>
      <c r="D152" s="11" t="s">
        <v>154</v>
      </c>
      <c r="E152" s="11" t="s">
        <v>155</v>
      </c>
      <c r="F152" s="11" t="s">
        <v>80</v>
      </c>
      <c r="G152" s="11" t="s">
        <v>81</v>
      </c>
      <c r="H152" s="11" t="s">
        <v>19</v>
      </c>
      <c r="I152" s="17">
        <v>3</v>
      </c>
      <c r="J152" s="17">
        <v>699.99</v>
      </c>
      <c r="K152" s="11" t="s">
        <v>34</v>
      </c>
      <c r="L152" s="11" t="s">
        <v>50</v>
      </c>
      <c r="M152" s="11" t="s">
        <v>36</v>
      </c>
      <c r="N152" s="18">
        <v>44583</v>
      </c>
      <c r="O152" s="19">
        <v>2099.9699999999998</v>
      </c>
      <c r="P152" s="3">
        <f t="shared" ca="1" si="10"/>
        <v>120</v>
      </c>
      <c r="Q152" s="3" t="str">
        <f t="shared" si="11"/>
        <v>High Value</v>
      </c>
      <c r="R152" s="3">
        <f t="shared" si="12"/>
        <v>31</v>
      </c>
      <c r="T152" s="21" t="str">
        <f t="shared" si="14"/>
        <v>SD</v>
      </c>
    </row>
    <row r="153" spans="1:20" ht="31.5">
      <c r="A153" s="11" t="s">
        <v>292</v>
      </c>
      <c r="B153" s="18">
        <v>45622</v>
      </c>
      <c r="C153" s="18" t="str">
        <f t="shared" si="13"/>
        <v>November</v>
      </c>
      <c r="D153" s="11" t="s">
        <v>293</v>
      </c>
      <c r="E153" s="11" t="s">
        <v>294</v>
      </c>
      <c r="F153" s="11" t="s">
        <v>17</v>
      </c>
      <c r="G153" s="11" t="s">
        <v>18</v>
      </c>
      <c r="H153" s="11" t="s">
        <v>19</v>
      </c>
      <c r="I153" s="17">
        <v>5</v>
      </c>
      <c r="J153" s="17">
        <v>249.99</v>
      </c>
      <c r="K153" s="11" t="s">
        <v>26</v>
      </c>
      <c r="L153" s="11" t="s">
        <v>40</v>
      </c>
      <c r="M153" s="11" t="s">
        <v>22</v>
      </c>
      <c r="N153" s="18">
        <v>44873</v>
      </c>
      <c r="O153" s="19">
        <v>1249.95</v>
      </c>
      <c r="P153" s="3">
        <f t="shared" ca="1" si="10"/>
        <v>122</v>
      </c>
      <c r="Q153" s="3" t="str">
        <f t="shared" si="11"/>
        <v>Normal</v>
      </c>
      <c r="R153" s="3">
        <f t="shared" si="12"/>
        <v>26</v>
      </c>
      <c r="T153" s="21" t="str">
        <f t="shared" si="14"/>
        <v>DW</v>
      </c>
    </row>
    <row r="154" spans="1:20">
      <c r="A154" s="11" t="s">
        <v>295</v>
      </c>
      <c r="B154" s="18">
        <v>45623</v>
      </c>
      <c r="C154" s="18" t="str">
        <f t="shared" si="13"/>
        <v>November</v>
      </c>
      <c r="D154" s="11" t="s">
        <v>112</v>
      </c>
      <c r="E154" s="11" t="s">
        <v>113</v>
      </c>
      <c r="F154" s="11" t="s">
        <v>44</v>
      </c>
      <c r="G154" s="11" t="s">
        <v>45</v>
      </c>
      <c r="H154" s="11" t="s">
        <v>46</v>
      </c>
      <c r="I154" s="17">
        <v>2</v>
      </c>
      <c r="J154" s="17">
        <v>149.99</v>
      </c>
      <c r="K154" s="11" t="s">
        <v>20</v>
      </c>
      <c r="L154" s="11" t="s">
        <v>35</v>
      </c>
      <c r="M154" s="11" t="s">
        <v>36</v>
      </c>
      <c r="N154" s="18">
        <v>45101</v>
      </c>
      <c r="O154" s="19">
        <v>299.98</v>
      </c>
      <c r="P154" s="3">
        <f t="shared" ca="1" si="10"/>
        <v>125</v>
      </c>
      <c r="Q154" s="3" t="str">
        <f t="shared" si="11"/>
        <v>Normal</v>
      </c>
      <c r="R154" s="3">
        <f t="shared" si="12"/>
        <v>35</v>
      </c>
      <c r="T154" s="21" t="str">
        <f t="shared" si="14"/>
        <v>LM</v>
      </c>
    </row>
    <row r="155" spans="1:20">
      <c r="A155" s="11" t="s">
        <v>296</v>
      </c>
      <c r="B155" s="18">
        <v>45627</v>
      </c>
      <c r="C155" s="18" t="str">
        <f t="shared" si="13"/>
        <v>December</v>
      </c>
      <c r="D155" s="11" t="s">
        <v>29</v>
      </c>
      <c r="E155" s="11" t="s">
        <v>30</v>
      </c>
      <c r="F155" s="11" t="s">
        <v>105</v>
      </c>
      <c r="G155" s="11" t="s">
        <v>106</v>
      </c>
      <c r="H155" s="11" t="s">
        <v>46</v>
      </c>
      <c r="I155" s="17">
        <v>3</v>
      </c>
      <c r="J155" s="17">
        <v>299.99</v>
      </c>
      <c r="K155" s="11" t="s">
        <v>20</v>
      </c>
      <c r="L155" s="11" t="s">
        <v>35</v>
      </c>
      <c r="M155" s="11" t="s">
        <v>27</v>
      </c>
      <c r="N155" s="18">
        <v>44659</v>
      </c>
      <c r="O155" s="19">
        <v>899.97</v>
      </c>
      <c r="P155" s="3">
        <f t="shared" ca="1" si="10"/>
        <v>123</v>
      </c>
      <c r="Q155" s="3" t="str">
        <f t="shared" si="11"/>
        <v>Normal</v>
      </c>
      <c r="R155" s="3">
        <f t="shared" si="12"/>
        <v>26</v>
      </c>
      <c r="T155" s="21" t="str">
        <f t="shared" si="14"/>
        <v>KS</v>
      </c>
    </row>
    <row r="156" spans="1:20">
      <c r="A156" s="11" t="s">
        <v>297</v>
      </c>
      <c r="B156" s="18">
        <v>45627</v>
      </c>
      <c r="C156" s="18" t="str">
        <f t="shared" si="13"/>
        <v>December</v>
      </c>
      <c r="D156" s="11" t="s">
        <v>55</v>
      </c>
      <c r="E156" s="11" t="s">
        <v>56</v>
      </c>
      <c r="F156" s="11" t="s">
        <v>17</v>
      </c>
      <c r="G156" s="11" t="s">
        <v>18</v>
      </c>
      <c r="H156" s="11" t="s">
        <v>19</v>
      </c>
      <c r="I156" s="17">
        <v>5</v>
      </c>
      <c r="J156" s="17">
        <v>249.99</v>
      </c>
      <c r="K156" s="11" t="s">
        <v>20</v>
      </c>
      <c r="L156" s="11" t="s">
        <v>21</v>
      </c>
      <c r="M156" s="11" t="s">
        <v>27</v>
      </c>
      <c r="N156" s="18">
        <v>44485</v>
      </c>
      <c r="O156" s="19">
        <v>1249.95</v>
      </c>
      <c r="P156" s="3">
        <f t="shared" ca="1" si="10"/>
        <v>122</v>
      </c>
      <c r="Q156" s="3" t="str">
        <f t="shared" si="11"/>
        <v>Normal</v>
      </c>
      <c r="R156" s="3">
        <f t="shared" si="12"/>
        <v>26</v>
      </c>
      <c r="T156" s="21" t="str">
        <f t="shared" si="14"/>
        <v>CA</v>
      </c>
    </row>
    <row r="157" spans="1:20" ht="31.5">
      <c r="A157" s="11" t="s">
        <v>298</v>
      </c>
      <c r="B157" s="18">
        <v>45627</v>
      </c>
      <c r="C157" s="18" t="str">
        <f t="shared" si="13"/>
        <v>December</v>
      </c>
      <c r="D157" s="11" t="s">
        <v>24</v>
      </c>
      <c r="E157" s="11" t="s">
        <v>25</v>
      </c>
      <c r="F157" s="11" t="s">
        <v>52</v>
      </c>
      <c r="G157" s="11" t="s">
        <v>53</v>
      </c>
      <c r="H157" s="11" t="s">
        <v>19</v>
      </c>
      <c r="I157" s="17">
        <v>2</v>
      </c>
      <c r="J157" s="17">
        <v>149.99</v>
      </c>
      <c r="K157" s="11" t="s">
        <v>20</v>
      </c>
      <c r="L157" s="11" t="s">
        <v>35</v>
      </c>
      <c r="M157" s="11" t="s">
        <v>27</v>
      </c>
      <c r="N157" s="18">
        <v>44475</v>
      </c>
      <c r="O157" s="19">
        <v>299.98</v>
      </c>
      <c r="P157" s="3">
        <f t="shared" ca="1" si="10"/>
        <v>125</v>
      </c>
      <c r="Q157" s="3" t="str">
        <f t="shared" si="11"/>
        <v>Normal</v>
      </c>
      <c r="R157" s="3">
        <f t="shared" si="12"/>
        <v>16</v>
      </c>
      <c r="T157" s="21" t="str">
        <f t="shared" si="14"/>
        <v>JJ</v>
      </c>
    </row>
    <row r="158" spans="1:20">
      <c r="A158" s="11" t="s">
        <v>299</v>
      </c>
      <c r="B158" s="18">
        <v>45627</v>
      </c>
      <c r="C158" s="18" t="str">
        <f t="shared" si="13"/>
        <v>December</v>
      </c>
      <c r="D158" s="11" t="s">
        <v>86</v>
      </c>
      <c r="E158" s="11" t="s">
        <v>87</v>
      </c>
      <c r="F158" s="11" t="s">
        <v>80</v>
      </c>
      <c r="G158" s="11" t="s">
        <v>81</v>
      </c>
      <c r="H158" s="11" t="s">
        <v>19</v>
      </c>
      <c r="I158" s="17">
        <v>5</v>
      </c>
      <c r="J158" s="17">
        <v>699.99</v>
      </c>
      <c r="K158" s="11" t="s">
        <v>57</v>
      </c>
      <c r="L158" s="11" t="s">
        <v>50</v>
      </c>
      <c r="M158" s="11" t="s">
        <v>36</v>
      </c>
      <c r="N158" s="18">
        <v>44944</v>
      </c>
      <c r="O158" s="19">
        <v>3499.95</v>
      </c>
      <c r="P158" s="3">
        <f t="shared" ca="1" si="10"/>
        <v>116</v>
      </c>
      <c r="Q158" s="3" t="str">
        <f t="shared" si="11"/>
        <v>High Value</v>
      </c>
      <c r="R158" s="3">
        <f t="shared" si="12"/>
        <v>31</v>
      </c>
      <c r="T158" s="21" t="str">
        <f t="shared" si="14"/>
        <v>MC</v>
      </c>
    </row>
    <row r="159" spans="1:20">
      <c r="A159" s="11" t="s">
        <v>300</v>
      </c>
      <c r="B159" s="18">
        <v>45629</v>
      </c>
      <c r="C159" s="18" t="str">
        <f t="shared" si="13"/>
        <v>December</v>
      </c>
      <c r="D159" s="11" t="s">
        <v>252</v>
      </c>
      <c r="E159" s="11" t="s">
        <v>253</v>
      </c>
      <c r="F159" s="11" t="s">
        <v>17</v>
      </c>
      <c r="G159" s="11" t="s">
        <v>18</v>
      </c>
      <c r="H159" s="11" t="s">
        <v>19</v>
      </c>
      <c r="I159" s="17">
        <v>4</v>
      </c>
      <c r="J159" s="17">
        <v>249.99</v>
      </c>
      <c r="K159" s="11" t="s">
        <v>34</v>
      </c>
      <c r="L159" s="11" t="s">
        <v>63</v>
      </c>
      <c r="M159" s="11" t="s">
        <v>27</v>
      </c>
      <c r="N159" s="18">
        <v>45098</v>
      </c>
      <c r="O159" s="19">
        <v>999.96</v>
      </c>
      <c r="P159" s="3">
        <f t="shared" ca="1" si="10"/>
        <v>123</v>
      </c>
      <c r="Q159" s="3" t="str">
        <f t="shared" si="11"/>
        <v>Normal</v>
      </c>
      <c r="R159" s="3">
        <f t="shared" si="12"/>
        <v>26</v>
      </c>
      <c r="T159" s="21" t="str">
        <f t="shared" si="14"/>
        <v>WW</v>
      </c>
    </row>
    <row r="160" spans="1:20" ht="31.5">
      <c r="A160" s="11" t="s">
        <v>301</v>
      </c>
      <c r="B160" s="18">
        <v>45630</v>
      </c>
      <c r="C160" s="18" t="str">
        <f t="shared" si="13"/>
        <v>December</v>
      </c>
      <c r="D160" s="11" t="s">
        <v>48</v>
      </c>
      <c r="E160" s="11" t="s">
        <v>49</v>
      </c>
      <c r="F160" s="11" t="s">
        <v>80</v>
      </c>
      <c r="G160" s="11" t="s">
        <v>81</v>
      </c>
      <c r="H160" s="11" t="s">
        <v>19</v>
      </c>
      <c r="I160" s="17">
        <v>4</v>
      </c>
      <c r="J160" s="17">
        <v>699.99</v>
      </c>
      <c r="K160" s="11" t="s">
        <v>26</v>
      </c>
      <c r="L160" s="11" t="s">
        <v>40</v>
      </c>
      <c r="M160" s="11" t="s">
        <v>27</v>
      </c>
      <c r="N160" s="18">
        <v>44703</v>
      </c>
      <c r="O160" s="19">
        <v>2799.96</v>
      </c>
      <c r="P160" s="3">
        <f t="shared" ca="1" si="10"/>
        <v>118</v>
      </c>
      <c r="Q160" s="3" t="str">
        <f t="shared" si="11"/>
        <v>High Value</v>
      </c>
      <c r="R160" s="3">
        <f t="shared" si="12"/>
        <v>31</v>
      </c>
      <c r="T160" s="21" t="str">
        <f t="shared" si="14"/>
        <v>DN</v>
      </c>
    </row>
    <row r="161" spans="1:20">
      <c r="A161" s="11" t="s">
        <v>302</v>
      </c>
      <c r="B161" s="18">
        <v>45635</v>
      </c>
      <c r="C161" s="18" t="str">
        <f t="shared" si="13"/>
        <v>December</v>
      </c>
      <c r="D161" s="11" t="s">
        <v>108</v>
      </c>
      <c r="E161" s="11" t="s">
        <v>109</v>
      </c>
      <c r="F161" s="11" t="s">
        <v>17</v>
      </c>
      <c r="G161" s="11" t="s">
        <v>18</v>
      </c>
      <c r="H161" s="11" t="s">
        <v>19</v>
      </c>
      <c r="I161" s="17">
        <v>2</v>
      </c>
      <c r="J161" s="17">
        <v>249.99</v>
      </c>
      <c r="K161" s="11" t="s">
        <v>26</v>
      </c>
      <c r="L161" s="11" t="s">
        <v>21</v>
      </c>
      <c r="M161" s="11" t="s">
        <v>27</v>
      </c>
      <c r="N161" s="18">
        <v>44396</v>
      </c>
      <c r="O161" s="19">
        <v>499.98</v>
      </c>
      <c r="P161" s="3">
        <f t="shared" ca="1" si="10"/>
        <v>124</v>
      </c>
      <c r="Q161" s="3" t="str">
        <f t="shared" si="11"/>
        <v>Normal</v>
      </c>
      <c r="R161" s="3">
        <f t="shared" si="12"/>
        <v>26</v>
      </c>
      <c r="T161" s="21" t="str">
        <f t="shared" si="14"/>
        <v>NC</v>
      </c>
    </row>
    <row r="162" spans="1:20" ht="31.5">
      <c r="A162" s="11" t="s">
        <v>303</v>
      </c>
      <c r="B162" s="18">
        <v>45635</v>
      </c>
      <c r="C162" s="18" t="str">
        <f t="shared" si="13"/>
        <v>December</v>
      </c>
      <c r="D162" s="11" t="s">
        <v>304</v>
      </c>
      <c r="E162" s="11" t="s">
        <v>305</v>
      </c>
      <c r="F162" s="11" t="s">
        <v>31</v>
      </c>
      <c r="G162" s="11" t="s">
        <v>32</v>
      </c>
      <c r="H162" s="11" t="s">
        <v>33</v>
      </c>
      <c r="I162" s="17">
        <v>3</v>
      </c>
      <c r="J162" s="17">
        <v>59.99</v>
      </c>
      <c r="K162" s="11" t="s">
        <v>20</v>
      </c>
      <c r="L162" s="11" t="s">
        <v>21</v>
      </c>
      <c r="M162" s="11" t="s">
        <v>27</v>
      </c>
      <c r="N162" s="18">
        <v>45052</v>
      </c>
      <c r="O162" s="19">
        <v>179.97</v>
      </c>
      <c r="P162" s="3">
        <f t="shared" ca="1" si="10"/>
        <v>125</v>
      </c>
      <c r="Q162" s="3" t="str">
        <f t="shared" si="11"/>
        <v>Normal</v>
      </c>
      <c r="R162" s="3">
        <f t="shared" si="12"/>
        <v>29</v>
      </c>
      <c r="T162" s="21" t="str">
        <f t="shared" si="14"/>
        <v>JJ</v>
      </c>
    </row>
    <row r="163" spans="1:20" ht="31.5">
      <c r="A163" s="11" t="s">
        <v>306</v>
      </c>
      <c r="B163" s="18">
        <v>45635</v>
      </c>
      <c r="C163" s="18" t="str">
        <f t="shared" si="13"/>
        <v>December</v>
      </c>
      <c r="D163" s="11" t="s">
        <v>141</v>
      </c>
      <c r="E163" s="11" t="s">
        <v>142</v>
      </c>
      <c r="F163" s="11" t="s">
        <v>114</v>
      </c>
      <c r="G163" s="11" t="s">
        <v>115</v>
      </c>
      <c r="H163" s="11" t="s">
        <v>33</v>
      </c>
      <c r="I163" s="17">
        <v>4</v>
      </c>
      <c r="J163" s="17">
        <v>79.989999999999995</v>
      </c>
      <c r="K163" s="11" t="s">
        <v>57</v>
      </c>
      <c r="L163" s="11" t="s">
        <v>63</v>
      </c>
      <c r="M163" s="11" t="s">
        <v>36</v>
      </c>
      <c r="N163" s="18">
        <v>44921</v>
      </c>
      <c r="O163" s="19">
        <v>319.95999999999998</v>
      </c>
      <c r="P163" s="3">
        <f t="shared" ca="1" si="10"/>
        <v>125</v>
      </c>
      <c r="Q163" s="3" t="str">
        <f t="shared" si="11"/>
        <v>Normal</v>
      </c>
      <c r="R163" s="3">
        <f t="shared" si="12"/>
        <v>14</v>
      </c>
      <c r="T163" s="21" t="str">
        <f t="shared" si="14"/>
        <v>JT</v>
      </c>
    </row>
    <row r="164" spans="1:20">
      <c r="A164" s="11" t="s">
        <v>307</v>
      </c>
      <c r="B164" s="18">
        <v>45636</v>
      </c>
      <c r="C164" s="18" t="str">
        <f t="shared" si="13"/>
        <v>December</v>
      </c>
      <c r="D164" s="11" t="s">
        <v>120</v>
      </c>
      <c r="E164" s="11" t="s">
        <v>121</v>
      </c>
      <c r="F164" s="11" t="s">
        <v>114</v>
      </c>
      <c r="G164" s="11" t="s">
        <v>115</v>
      </c>
      <c r="H164" s="11" t="s">
        <v>33</v>
      </c>
      <c r="I164" s="17">
        <v>3</v>
      </c>
      <c r="J164" s="17">
        <v>79.989999999999995</v>
      </c>
      <c r="K164" s="11" t="s">
        <v>57</v>
      </c>
      <c r="L164" s="11" t="s">
        <v>63</v>
      </c>
      <c r="M164" s="11" t="s">
        <v>36</v>
      </c>
      <c r="N164" s="18">
        <v>44779</v>
      </c>
      <c r="O164" s="19">
        <v>239.97</v>
      </c>
      <c r="P164" s="3">
        <f t="shared" ca="1" si="10"/>
        <v>125</v>
      </c>
      <c r="Q164" s="3" t="str">
        <f t="shared" si="11"/>
        <v>Normal</v>
      </c>
      <c r="R164" s="3">
        <f t="shared" si="12"/>
        <v>14</v>
      </c>
      <c r="T164" s="21" t="str">
        <f t="shared" si="14"/>
        <v>HR</v>
      </c>
    </row>
    <row r="165" spans="1:20" ht="31.5">
      <c r="A165" s="11" t="s">
        <v>308</v>
      </c>
      <c r="B165" s="18">
        <v>45638</v>
      </c>
      <c r="C165" s="18" t="str">
        <f t="shared" si="13"/>
        <v>December</v>
      </c>
      <c r="D165" s="11" t="s">
        <v>72</v>
      </c>
      <c r="E165" s="11" t="s">
        <v>73</v>
      </c>
      <c r="F165" s="11" t="s">
        <v>61</v>
      </c>
      <c r="G165" s="11" t="s">
        <v>62</v>
      </c>
      <c r="H165" s="11" t="s">
        <v>19</v>
      </c>
      <c r="I165" s="17">
        <v>2</v>
      </c>
      <c r="J165" s="17">
        <v>899.99</v>
      </c>
      <c r="K165" s="11" t="s">
        <v>20</v>
      </c>
      <c r="L165" s="11" t="s">
        <v>40</v>
      </c>
      <c r="M165" s="11" t="s">
        <v>22</v>
      </c>
      <c r="N165" s="18">
        <v>44406</v>
      </c>
      <c r="O165" s="19">
        <v>1799.98</v>
      </c>
      <c r="P165" s="3">
        <f t="shared" ca="1" si="10"/>
        <v>121</v>
      </c>
      <c r="Q165" s="3" t="str">
        <f t="shared" si="11"/>
        <v>Normal</v>
      </c>
      <c r="R165" s="3">
        <f t="shared" si="12"/>
        <v>24</v>
      </c>
      <c r="T165" s="21" t="str">
        <f t="shared" si="14"/>
        <v>PR</v>
      </c>
    </row>
    <row r="166" spans="1:20" ht="31.5">
      <c r="A166" s="11" t="s">
        <v>309</v>
      </c>
      <c r="B166" s="18">
        <v>45641</v>
      </c>
      <c r="C166" s="18" t="str">
        <f t="shared" si="13"/>
        <v>December</v>
      </c>
      <c r="D166" s="11" t="s">
        <v>182</v>
      </c>
      <c r="E166" s="11" t="s">
        <v>183</v>
      </c>
      <c r="F166" s="11" t="s">
        <v>44</v>
      </c>
      <c r="G166" s="11" t="s">
        <v>45</v>
      </c>
      <c r="H166" s="11" t="s">
        <v>46</v>
      </c>
      <c r="I166" s="17">
        <v>1</v>
      </c>
      <c r="J166" s="17">
        <v>149.99</v>
      </c>
      <c r="K166" s="11" t="s">
        <v>57</v>
      </c>
      <c r="L166" s="11" t="s">
        <v>63</v>
      </c>
      <c r="M166" s="11" t="s">
        <v>36</v>
      </c>
      <c r="N166" s="18">
        <v>45200</v>
      </c>
      <c r="O166" s="19">
        <v>149.99</v>
      </c>
      <c r="P166" s="3">
        <f t="shared" ca="1" si="10"/>
        <v>125</v>
      </c>
      <c r="Q166" s="3" t="str">
        <f t="shared" si="11"/>
        <v>Normal</v>
      </c>
      <c r="R166" s="3">
        <f t="shared" si="12"/>
        <v>35</v>
      </c>
      <c r="T166" s="21" t="str">
        <f t="shared" si="14"/>
        <v>DM</v>
      </c>
    </row>
    <row r="167" spans="1:20">
      <c r="A167" s="11" t="s">
        <v>310</v>
      </c>
      <c r="B167" s="18">
        <v>45641</v>
      </c>
      <c r="C167" s="18" t="str">
        <f t="shared" si="13"/>
        <v>December</v>
      </c>
      <c r="D167" s="11" t="s">
        <v>138</v>
      </c>
      <c r="E167" s="11" t="s">
        <v>139</v>
      </c>
      <c r="F167" s="11" t="s">
        <v>105</v>
      </c>
      <c r="G167" s="11" t="s">
        <v>106</v>
      </c>
      <c r="H167" s="11" t="s">
        <v>46</v>
      </c>
      <c r="I167" s="17">
        <v>2</v>
      </c>
      <c r="J167" s="17">
        <v>299.99</v>
      </c>
      <c r="K167" s="11" t="s">
        <v>20</v>
      </c>
      <c r="L167" s="11" t="s">
        <v>63</v>
      </c>
      <c r="M167" s="11" t="s">
        <v>27</v>
      </c>
      <c r="N167" s="18">
        <v>44724</v>
      </c>
      <c r="O167" s="19">
        <v>599.98</v>
      </c>
      <c r="P167" s="3">
        <f t="shared" ca="1" si="10"/>
        <v>124</v>
      </c>
      <c r="Q167" s="3" t="str">
        <f t="shared" si="11"/>
        <v>Normal</v>
      </c>
      <c r="R167" s="3">
        <f t="shared" si="12"/>
        <v>26</v>
      </c>
      <c r="T167" s="21" t="str">
        <f t="shared" si="14"/>
        <v>ST</v>
      </c>
    </row>
    <row r="168" spans="1:20">
      <c r="A168" s="11" t="s">
        <v>311</v>
      </c>
      <c r="B168" s="18">
        <v>45644</v>
      </c>
      <c r="C168" s="18" t="str">
        <f t="shared" si="13"/>
        <v>December</v>
      </c>
      <c r="D168" s="11" t="s">
        <v>132</v>
      </c>
      <c r="E168" s="11" t="s">
        <v>133</v>
      </c>
      <c r="F168" s="11" t="s">
        <v>31</v>
      </c>
      <c r="G168" s="11" t="s">
        <v>32</v>
      </c>
      <c r="H168" s="11" t="s">
        <v>33</v>
      </c>
      <c r="I168" s="17">
        <v>2</v>
      </c>
      <c r="J168" s="17">
        <v>59.99</v>
      </c>
      <c r="K168" s="11" t="s">
        <v>20</v>
      </c>
      <c r="L168" s="11" t="s">
        <v>50</v>
      </c>
      <c r="M168" s="11" t="s">
        <v>22</v>
      </c>
      <c r="N168" s="18">
        <v>45191</v>
      </c>
      <c r="O168" s="19">
        <v>119.98</v>
      </c>
      <c r="P168" s="3">
        <f t="shared" ca="1" si="10"/>
        <v>126</v>
      </c>
      <c r="Q168" s="3" t="str">
        <f t="shared" si="11"/>
        <v>Normal</v>
      </c>
      <c r="R168" s="3">
        <f t="shared" si="12"/>
        <v>29</v>
      </c>
      <c r="T168" s="21" t="str">
        <f t="shared" si="14"/>
        <v>EW</v>
      </c>
    </row>
    <row r="169" spans="1:20" ht="31.5">
      <c r="A169" s="11" t="s">
        <v>312</v>
      </c>
      <c r="B169" s="18">
        <v>45645</v>
      </c>
      <c r="C169" s="18" t="str">
        <f t="shared" si="13"/>
        <v>December</v>
      </c>
      <c r="D169" s="11" t="s">
        <v>182</v>
      </c>
      <c r="E169" s="11" t="s">
        <v>183</v>
      </c>
      <c r="F169" s="11" t="s">
        <v>117</v>
      </c>
      <c r="G169" s="11" t="s">
        <v>118</v>
      </c>
      <c r="H169" s="11" t="s">
        <v>19</v>
      </c>
      <c r="I169" s="17">
        <v>1</v>
      </c>
      <c r="J169" s="17">
        <v>89.99</v>
      </c>
      <c r="K169" s="11" t="s">
        <v>57</v>
      </c>
      <c r="L169" s="11" t="s">
        <v>21</v>
      </c>
      <c r="M169" s="11" t="s">
        <v>36</v>
      </c>
      <c r="N169" s="18">
        <v>44760</v>
      </c>
      <c r="O169" s="19">
        <v>89.99</v>
      </c>
      <c r="P169" s="3">
        <f t="shared" ca="1" si="10"/>
        <v>126</v>
      </c>
      <c r="Q169" s="3" t="str">
        <f t="shared" si="11"/>
        <v>Normal</v>
      </c>
      <c r="R169" s="3">
        <f t="shared" si="12"/>
        <v>34</v>
      </c>
      <c r="T169" s="21" t="str">
        <f t="shared" si="14"/>
        <v>DM</v>
      </c>
    </row>
    <row r="170" spans="1:20">
      <c r="A170" s="11" t="s">
        <v>313</v>
      </c>
      <c r="B170" s="18">
        <v>45645</v>
      </c>
      <c r="C170" s="18" t="str">
        <f t="shared" si="13"/>
        <v>December</v>
      </c>
      <c r="D170" s="11" t="s">
        <v>147</v>
      </c>
      <c r="E170" s="11" t="s">
        <v>148</v>
      </c>
      <c r="F170" s="11" t="s">
        <v>61</v>
      </c>
      <c r="G170" s="11" t="s">
        <v>62</v>
      </c>
      <c r="H170" s="11" t="s">
        <v>19</v>
      </c>
      <c r="I170" s="17">
        <v>5</v>
      </c>
      <c r="J170" s="17">
        <v>899.99</v>
      </c>
      <c r="K170" s="11" t="s">
        <v>57</v>
      </c>
      <c r="L170" s="11" t="s">
        <v>63</v>
      </c>
      <c r="M170" s="11" t="s">
        <v>36</v>
      </c>
      <c r="N170" s="18">
        <v>44625</v>
      </c>
      <c r="O170" s="19">
        <v>4499.95</v>
      </c>
      <c r="P170" s="3">
        <f t="shared" ca="1" si="10"/>
        <v>114</v>
      </c>
      <c r="Q170" s="3" t="str">
        <f t="shared" si="11"/>
        <v>High Value</v>
      </c>
      <c r="R170" s="3">
        <f t="shared" si="12"/>
        <v>24</v>
      </c>
      <c r="T170" s="21" t="str">
        <f t="shared" si="14"/>
        <v>DK</v>
      </c>
    </row>
    <row r="171" spans="1:20" ht="31.5">
      <c r="A171" s="11" t="s">
        <v>314</v>
      </c>
      <c r="B171" s="18">
        <v>45646</v>
      </c>
      <c r="C171" s="18" t="str">
        <f t="shared" si="13"/>
        <v>December</v>
      </c>
      <c r="D171" s="11" t="s">
        <v>42</v>
      </c>
      <c r="E171" s="11" t="s">
        <v>43</v>
      </c>
      <c r="F171" s="11" t="s">
        <v>44</v>
      </c>
      <c r="G171" s="11" t="s">
        <v>45</v>
      </c>
      <c r="H171" s="11" t="s">
        <v>46</v>
      </c>
      <c r="I171" s="17">
        <v>2</v>
      </c>
      <c r="J171" s="17">
        <v>149.99</v>
      </c>
      <c r="K171" s="11" t="s">
        <v>20</v>
      </c>
      <c r="L171" s="11" t="s">
        <v>35</v>
      </c>
      <c r="M171" s="11" t="s">
        <v>22</v>
      </c>
      <c r="N171" s="18">
        <v>45239</v>
      </c>
      <c r="O171" s="19">
        <v>299.98</v>
      </c>
      <c r="P171" s="3">
        <f t="shared" ca="1" si="10"/>
        <v>125</v>
      </c>
      <c r="Q171" s="3" t="str">
        <f t="shared" si="11"/>
        <v>Normal</v>
      </c>
      <c r="R171" s="3">
        <f t="shared" si="12"/>
        <v>35</v>
      </c>
      <c r="T171" s="21" t="str">
        <f t="shared" si="14"/>
        <v>MB</v>
      </c>
    </row>
    <row r="172" spans="1:20">
      <c r="A172" s="11" t="s">
        <v>315</v>
      </c>
      <c r="B172" s="18">
        <v>45648</v>
      </c>
      <c r="C172" s="18" t="str">
        <f t="shared" si="13"/>
        <v>December</v>
      </c>
      <c r="D172" s="11" t="s">
        <v>112</v>
      </c>
      <c r="E172" s="11" t="s">
        <v>113</v>
      </c>
      <c r="F172" s="11" t="s">
        <v>52</v>
      </c>
      <c r="G172" s="11" t="s">
        <v>53</v>
      </c>
      <c r="H172" s="11" t="s">
        <v>19</v>
      </c>
      <c r="I172" s="17">
        <v>2</v>
      </c>
      <c r="J172" s="17">
        <v>149.99</v>
      </c>
      <c r="K172" s="11" t="s">
        <v>57</v>
      </c>
      <c r="L172" s="11" t="s">
        <v>50</v>
      </c>
      <c r="M172" s="11" t="s">
        <v>27</v>
      </c>
      <c r="N172" s="18">
        <v>45280</v>
      </c>
      <c r="O172" s="19">
        <v>299.98</v>
      </c>
      <c r="P172" s="3">
        <f t="shared" ca="1" si="10"/>
        <v>125</v>
      </c>
      <c r="Q172" s="3" t="str">
        <f t="shared" si="11"/>
        <v>Normal</v>
      </c>
      <c r="R172" s="3">
        <f t="shared" si="12"/>
        <v>16</v>
      </c>
      <c r="T172" s="21" t="str">
        <f t="shared" si="14"/>
        <v>LM</v>
      </c>
    </row>
    <row r="173" spans="1:20" ht="31.5">
      <c r="A173" s="11" t="s">
        <v>316</v>
      </c>
      <c r="B173" s="18">
        <v>45648</v>
      </c>
      <c r="C173" s="18" t="str">
        <f t="shared" si="13"/>
        <v>December</v>
      </c>
      <c r="D173" s="11" t="s">
        <v>182</v>
      </c>
      <c r="E173" s="11" t="s">
        <v>183</v>
      </c>
      <c r="F173" s="11" t="s">
        <v>44</v>
      </c>
      <c r="G173" s="11" t="s">
        <v>45</v>
      </c>
      <c r="H173" s="11" t="s">
        <v>46</v>
      </c>
      <c r="I173" s="17">
        <v>3</v>
      </c>
      <c r="J173" s="17">
        <v>149.99</v>
      </c>
      <c r="K173" s="11" t="s">
        <v>57</v>
      </c>
      <c r="L173" s="11" t="s">
        <v>40</v>
      </c>
      <c r="M173" s="11" t="s">
        <v>36</v>
      </c>
      <c r="N173" s="18">
        <v>44522</v>
      </c>
      <c r="O173" s="19">
        <v>449.97</v>
      </c>
      <c r="P173" s="3">
        <f t="shared" ca="1" si="10"/>
        <v>125</v>
      </c>
      <c r="Q173" s="3" t="str">
        <f t="shared" si="11"/>
        <v>Normal</v>
      </c>
      <c r="R173" s="3">
        <f t="shared" si="12"/>
        <v>35</v>
      </c>
      <c r="T173" s="21" t="str">
        <f t="shared" si="14"/>
        <v>DM</v>
      </c>
    </row>
    <row r="174" spans="1:20">
      <c r="A174" s="11" t="s">
        <v>317</v>
      </c>
      <c r="B174" s="18">
        <v>45649</v>
      </c>
      <c r="C174" s="18" t="str">
        <f t="shared" si="13"/>
        <v>December</v>
      </c>
      <c r="D174" s="11" t="s">
        <v>29</v>
      </c>
      <c r="E174" s="11" t="s">
        <v>30</v>
      </c>
      <c r="F174" s="11" t="s">
        <v>105</v>
      </c>
      <c r="G174" s="11" t="s">
        <v>106</v>
      </c>
      <c r="H174" s="11" t="s">
        <v>46</v>
      </c>
      <c r="I174" s="17">
        <v>2</v>
      </c>
      <c r="J174" s="17">
        <v>299.99</v>
      </c>
      <c r="K174" s="11" t="s">
        <v>34</v>
      </c>
      <c r="L174" s="11" t="s">
        <v>35</v>
      </c>
      <c r="M174" s="11" t="s">
        <v>22</v>
      </c>
      <c r="N174" s="18">
        <v>44721</v>
      </c>
      <c r="O174" s="19">
        <v>599.98</v>
      </c>
      <c r="P174" s="3">
        <f t="shared" ca="1" si="10"/>
        <v>124</v>
      </c>
      <c r="Q174" s="3" t="str">
        <f t="shared" si="11"/>
        <v>Normal</v>
      </c>
      <c r="R174" s="3">
        <f t="shared" si="12"/>
        <v>26</v>
      </c>
      <c r="T174" s="21" t="str">
        <f t="shared" si="14"/>
        <v>KS</v>
      </c>
    </row>
    <row r="175" spans="1:20" ht="31.5">
      <c r="A175" s="11" t="s">
        <v>318</v>
      </c>
      <c r="B175" s="18">
        <v>45654</v>
      </c>
      <c r="C175" s="18" t="str">
        <f t="shared" si="13"/>
        <v>December</v>
      </c>
      <c r="D175" s="11" t="s">
        <v>42</v>
      </c>
      <c r="E175" s="11" t="s">
        <v>43</v>
      </c>
      <c r="F175" s="11" t="s">
        <v>105</v>
      </c>
      <c r="G175" s="11" t="s">
        <v>106</v>
      </c>
      <c r="H175" s="11" t="s">
        <v>46</v>
      </c>
      <c r="I175" s="17">
        <v>2</v>
      </c>
      <c r="J175" s="17">
        <v>299.99</v>
      </c>
      <c r="K175" s="11" t="s">
        <v>20</v>
      </c>
      <c r="L175" s="11" t="s">
        <v>50</v>
      </c>
      <c r="M175" s="11" t="s">
        <v>22</v>
      </c>
      <c r="N175" s="18">
        <v>44771</v>
      </c>
      <c r="O175" s="19">
        <v>599.98</v>
      </c>
      <c r="P175" s="3">
        <f t="shared" ca="1" si="10"/>
        <v>124</v>
      </c>
      <c r="Q175" s="3" t="str">
        <f t="shared" si="11"/>
        <v>Normal</v>
      </c>
      <c r="R175" s="3">
        <f t="shared" si="12"/>
        <v>26</v>
      </c>
      <c r="T175" s="21" t="str">
        <f t="shared" si="14"/>
        <v>MB</v>
      </c>
    </row>
    <row r="176" spans="1:20">
      <c r="A176" s="11" t="s">
        <v>319</v>
      </c>
      <c r="B176" s="18">
        <v>45654</v>
      </c>
      <c r="C176" s="18" t="str">
        <f t="shared" si="13"/>
        <v>December</v>
      </c>
      <c r="D176" s="11" t="s">
        <v>120</v>
      </c>
      <c r="E176" s="11" t="s">
        <v>121</v>
      </c>
      <c r="F176" s="11" t="s">
        <v>126</v>
      </c>
      <c r="G176" s="11" t="s">
        <v>127</v>
      </c>
      <c r="H176" s="11" t="s">
        <v>46</v>
      </c>
      <c r="I176" s="17">
        <v>4</v>
      </c>
      <c r="J176" s="17">
        <v>199.99</v>
      </c>
      <c r="K176" s="11" t="s">
        <v>26</v>
      </c>
      <c r="L176" s="11" t="s">
        <v>21</v>
      </c>
      <c r="M176" s="11" t="s">
        <v>22</v>
      </c>
      <c r="N176" s="18">
        <v>44523</v>
      </c>
      <c r="O176" s="19">
        <v>799.96</v>
      </c>
      <c r="P176" s="3">
        <f t="shared" ca="1" si="10"/>
        <v>124</v>
      </c>
      <c r="Q176" s="3" t="str">
        <f t="shared" si="11"/>
        <v>Normal</v>
      </c>
      <c r="R176" s="3">
        <f t="shared" si="12"/>
        <v>15</v>
      </c>
      <c r="T176" s="21" t="str">
        <f t="shared" si="14"/>
        <v>HR</v>
      </c>
    </row>
    <row r="177" spans="1:20" ht="31.5">
      <c r="A177" s="11" t="s">
        <v>320</v>
      </c>
      <c r="B177" s="18">
        <v>45655</v>
      </c>
      <c r="C177" s="18" t="str">
        <f t="shared" si="13"/>
        <v>December</v>
      </c>
      <c r="D177" s="11" t="s">
        <v>59</v>
      </c>
      <c r="E177" s="11" t="s">
        <v>60</v>
      </c>
      <c r="F177" s="11" t="s">
        <v>117</v>
      </c>
      <c r="G177" s="11" t="s">
        <v>118</v>
      </c>
      <c r="H177" s="11" t="s">
        <v>19</v>
      </c>
      <c r="I177" s="17">
        <v>1</v>
      </c>
      <c r="J177" s="17">
        <v>89.99</v>
      </c>
      <c r="K177" s="11" t="s">
        <v>26</v>
      </c>
      <c r="L177" s="11" t="s">
        <v>35</v>
      </c>
      <c r="M177" s="11" t="s">
        <v>27</v>
      </c>
      <c r="N177" s="18">
        <v>44591</v>
      </c>
      <c r="O177" s="19">
        <v>89.99</v>
      </c>
      <c r="P177" s="3">
        <f t="shared" ca="1" si="10"/>
        <v>126</v>
      </c>
      <c r="Q177" s="3" t="str">
        <f t="shared" si="11"/>
        <v>Normal</v>
      </c>
      <c r="R177" s="3">
        <f t="shared" si="12"/>
        <v>34</v>
      </c>
      <c r="T177" s="21" t="str">
        <f t="shared" si="14"/>
        <v>RT</v>
      </c>
    </row>
    <row r="178" spans="1:20">
      <c r="A178" s="11" t="s">
        <v>321</v>
      </c>
      <c r="B178" s="18">
        <v>45655</v>
      </c>
      <c r="C178" s="18" t="str">
        <f t="shared" si="13"/>
        <v>December</v>
      </c>
      <c r="D178" s="11" t="s">
        <v>108</v>
      </c>
      <c r="E178" s="11" t="s">
        <v>109</v>
      </c>
      <c r="F178" s="11" t="s">
        <v>44</v>
      </c>
      <c r="G178" s="11" t="s">
        <v>45</v>
      </c>
      <c r="H178" s="11" t="s">
        <v>46</v>
      </c>
      <c r="I178" s="17">
        <v>5</v>
      </c>
      <c r="J178" s="17">
        <v>149.99</v>
      </c>
      <c r="K178" s="11" t="s">
        <v>20</v>
      </c>
      <c r="L178" s="11" t="s">
        <v>21</v>
      </c>
      <c r="M178" s="11" t="s">
        <v>27</v>
      </c>
      <c r="N178" s="18">
        <v>45347</v>
      </c>
      <c r="O178" s="19">
        <v>749.95</v>
      </c>
      <c r="P178" s="3">
        <f t="shared" ca="1" si="10"/>
        <v>124</v>
      </c>
      <c r="Q178" s="3" t="str">
        <f t="shared" si="11"/>
        <v>Normal</v>
      </c>
      <c r="R178" s="3">
        <f t="shared" si="12"/>
        <v>35</v>
      </c>
      <c r="T178" s="21" t="str">
        <f t="shared" si="14"/>
        <v>NC</v>
      </c>
    </row>
    <row r="179" spans="1:20">
      <c r="A179" s="11" t="s">
        <v>322</v>
      </c>
      <c r="B179" s="18">
        <v>45657</v>
      </c>
      <c r="C179" s="18" t="str">
        <f t="shared" si="13"/>
        <v>December</v>
      </c>
      <c r="D179" s="11" t="s">
        <v>86</v>
      </c>
      <c r="E179" s="11" t="s">
        <v>87</v>
      </c>
      <c r="F179" s="11" t="s">
        <v>61</v>
      </c>
      <c r="G179" s="11" t="s">
        <v>62</v>
      </c>
      <c r="H179" s="11" t="s">
        <v>19</v>
      </c>
      <c r="I179" s="17">
        <v>1</v>
      </c>
      <c r="J179" s="17">
        <v>899.99</v>
      </c>
      <c r="K179" s="11" t="s">
        <v>34</v>
      </c>
      <c r="L179" s="11" t="s">
        <v>40</v>
      </c>
      <c r="M179" s="11" t="s">
        <v>27</v>
      </c>
      <c r="N179" s="18">
        <v>45050</v>
      </c>
      <c r="O179" s="19">
        <v>899.99</v>
      </c>
      <c r="P179" s="3">
        <f t="shared" ca="1" si="10"/>
        <v>123</v>
      </c>
      <c r="Q179" s="3" t="str">
        <f t="shared" si="11"/>
        <v>Normal</v>
      </c>
      <c r="R179" s="3">
        <f t="shared" si="12"/>
        <v>24</v>
      </c>
      <c r="T179" s="21" t="str">
        <f t="shared" si="14"/>
        <v>MC</v>
      </c>
    </row>
    <row r="180" spans="1:20">
      <c r="A180" s="11" t="s">
        <v>323</v>
      </c>
      <c r="B180" s="18">
        <v>45660</v>
      </c>
      <c r="C180" s="18" t="str">
        <f t="shared" si="13"/>
        <v>January</v>
      </c>
      <c r="D180" s="11" t="s">
        <v>147</v>
      </c>
      <c r="E180" s="11" t="s">
        <v>148</v>
      </c>
      <c r="F180" s="11" t="s">
        <v>117</v>
      </c>
      <c r="G180" s="11" t="s">
        <v>118</v>
      </c>
      <c r="H180" s="11" t="s">
        <v>19</v>
      </c>
      <c r="I180" s="17">
        <v>2</v>
      </c>
      <c r="J180" s="17">
        <v>89.99</v>
      </c>
      <c r="K180" s="11" t="s">
        <v>26</v>
      </c>
      <c r="L180" s="11" t="s">
        <v>35</v>
      </c>
      <c r="M180" s="11" t="s">
        <v>27</v>
      </c>
      <c r="N180" s="18">
        <v>44564</v>
      </c>
      <c r="O180" s="19">
        <v>179.98</v>
      </c>
      <c r="P180" s="3">
        <f t="shared" ca="1" si="10"/>
        <v>125</v>
      </c>
      <c r="Q180" s="3" t="str">
        <f t="shared" si="11"/>
        <v>Normal</v>
      </c>
      <c r="R180" s="3">
        <f t="shared" si="12"/>
        <v>34</v>
      </c>
      <c r="T180" s="21" t="str">
        <f t="shared" si="14"/>
        <v>DK</v>
      </c>
    </row>
    <row r="181" spans="1:20" ht="31.5">
      <c r="A181" s="11" t="s">
        <v>324</v>
      </c>
      <c r="B181" s="18">
        <v>45661</v>
      </c>
      <c r="C181" s="18" t="str">
        <f t="shared" si="13"/>
        <v>January</v>
      </c>
      <c r="D181" s="11" t="s">
        <v>325</v>
      </c>
      <c r="E181" s="11" t="s">
        <v>326</v>
      </c>
      <c r="F181" s="11" t="s">
        <v>61</v>
      </c>
      <c r="G181" s="11" t="s">
        <v>62</v>
      </c>
      <c r="H181" s="11" t="s">
        <v>19</v>
      </c>
      <c r="I181" s="17">
        <v>1</v>
      </c>
      <c r="J181" s="17">
        <v>899.99</v>
      </c>
      <c r="K181" s="11" t="s">
        <v>34</v>
      </c>
      <c r="L181" s="11" t="s">
        <v>40</v>
      </c>
      <c r="M181" s="11" t="s">
        <v>36</v>
      </c>
      <c r="N181" s="18">
        <v>44752</v>
      </c>
      <c r="O181" s="19">
        <v>899.99</v>
      </c>
      <c r="P181" s="3">
        <f t="shared" ca="1" si="10"/>
        <v>123</v>
      </c>
      <c r="Q181" s="3" t="str">
        <f t="shared" si="11"/>
        <v>Normal</v>
      </c>
      <c r="R181" s="3">
        <f t="shared" si="12"/>
        <v>24</v>
      </c>
      <c r="T181" s="21" t="str">
        <f t="shared" si="14"/>
        <v>AE</v>
      </c>
    </row>
    <row r="182" spans="1:20">
      <c r="A182" s="11" t="s">
        <v>327</v>
      </c>
      <c r="B182" s="18">
        <v>45663</v>
      </c>
      <c r="C182" s="18" t="str">
        <f t="shared" si="13"/>
        <v>January</v>
      </c>
      <c r="D182" s="11" t="s">
        <v>129</v>
      </c>
      <c r="E182" s="11" t="s">
        <v>130</v>
      </c>
      <c r="F182" s="11" t="s">
        <v>52</v>
      </c>
      <c r="G182" s="11" t="s">
        <v>53</v>
      </c>
      <c r="H182" s="11" t="s">
        <v>19</v>
      </c>
      <c r="I182" s="17">
        <v>5</v>
      </c>
      <c r="J182" s="17">
        <v>149.99</v>
      </c>
      <c r="K182" s="11" t="s">
        <v>34</v>
      </c>
      <c r="L182" s="11" t="s">
        <v>63</v>
      </c>
      <c r="M182" s="11" t="s">
        <v>27</v>
      </c>
      <c r="N182" s="18">
        <v>44824</v>
      </c>
      <c r="O182" s="19">
        <v>749.95</v>
      </c>
      <c r="P182" s="3">
        <f t="shared" ca="1" si="10"/>
        <v>124</v>
      </c>
      <c r="Q182" s="3" t="str">
        <f t="shared" si="11"/>
        <v>Normal</v>
      </c>
      <c r="R182" s="3">
        <f t="shared" si="12"/>
        <v>16</v>
      </c>
      <c r="T182" s="21" t="str">
        <f t="shared" si="14"/>
        <v>LA</v>
      </c>
    </row>
    <row r="183" spans="1:20" ht="31.5">
      <c r="A183" s="11" t="s">
        <v>328</v>
      </c>
      <c r="B183" s="18">
        <v>45663</v>
      </c>
      <c r="C183" s="18" t="str">
        <f t="shared" si="13"/>
        <v>January</v>
      </c>
      <c r="D183" s="11" t="s">
        <v>42</v>
      </c>
      <c r="E183" s="11" t="s">
        <v>43</v>
      </c>
      <c r="F183" s="11" t="s">
        <v>105</v>
      </c>
      <c r="G183" s="11" t="s">
        <v>106</v>
      </c>
      <c r="H183" s="11" t="s">
        <v>46</v>
      </c>
      <c r="I183" s="17">
        <v>3</v>
      </c>
      <c r="J183" s="17">
        <v>299.99</v>
      </c>
      <c r="K183" s="11" t="s">
        <v>20</v>
      </c>
      <c r="L183" s="11" t="s">
        <v>35</v>
      </c>
      <c r="M183" s="11" t="s">
        <v>36</v>
      </c>
      <c r="N183" s="18">
        <v>44422</v>
      </c>
      <c r="O183" s="19">
        <v>899.97</v>
      </c>
      <c r="P183" s="3">
        <f t="shared" ca="1" si="10"/>
        <v>123</v>
      </c>
      <c r="Q183" s="3" t="str">
        <f t="shared" si="11"/>
        <v>Normal</v>
      </c>
      <c r="R183" s="3">
        <f t="shared" si="12"/>
        <v>26</v>
      </c>
      <c r="T183" s="21" t="str">
        <f t="shared" si="14"/>
        <v>MB</v>
      </c>
    </row>
    <row r="184" spans="1:20">
      <c r="A184" s="11" t="s">
        <v>329</v>
      </c>
      <c r="B184" s="18">
        <v>45666</v>
      </c>
      <c r="C184" s="18" t="str">
        <f t="shared" si="13"/>
        <v>January</v>
      </c>
      <c r="D184" s="11" t="s">
        <v>65</v>
      </c>
      <c r="E184" s="11" t="s">
        <v>66</v>
      </c>
      <c r="F184" s="11" t="s">
        <v>80</v>
      </c>
      <c r="G184" s="11" t="s">
        <v>81</v>
      </c>
      <c r="H184" s="11" t="s">
        <v>19</v>
      </c>
      <c r="I184" s="17">
        <v>3</v>
      </c>
      <c r="J184" s="17">
        <v>699.99</v>
      </c>
      <c r="K184" s="11" t="s">
        <v>26</v>
      </c>
      <c r="L184" s="11" t="s">
        <v>21</v>
      </c>
      <c r="M184" s="11" t="s">
        <v>27</v>
      </c>
      <c r="N184" s="18">
        <v>45105</v>
      </c>
      <c r="O184" s="19">
        <v>2099.9699999999998</v>
      </c>
      <c r="P184" s="3">
        <f t="shared" ca="1" si="10"/>
        <v>120</v>
      </c>
      <c r="Q184" s="3" t="str">
        <f t="shared" si="11"/>
        <v>High Value</v>
      </c>
      <c r="R184" s="3">
        <f t="shared" si="12"/>
        <v>31</v>
      </c>
      <c r="T184" s="21" t="str">
        <f t="shared" si="14"/>
        <v>KH</v>
      </c>
    </row>
    <row r="185" spans="1:20">
      <c r="A185" s="11" t="s">
        <v>330</v>
      </c>
      <c r="B185" s="18">
        <v>45667</v>
      </c>
      <c r="C185" s="18" t="str">
        <f t="shared" si="13"/>
        <v>January</v>
      </c>
      <c r="D185" s="11" t="s">
        <v>108</v>
      </c>
      <c r="E185" s="11" t="s">
        <v>109</v>
      </c>
      <c r="F185" s="11" t="s">
        <v>126</v>
      </c>
      <c r="G185" s="11" t="s">
        <v>127</v>
      </c>
      <c r="H185" s="11" t="s">
        <v>46</v>
      </c>
      <c r="I185" s="17">
        <v>5</v>
      </c>
      <c r="J185" s="17">
        <v>199.99</v>
      </c>
      <c r="K185" s="11" t="s">
        <v>34</v>
      </c>
      <c r="L185" s="11" t="s">
        <v>21</v>
      </c>
      <c r="M185" s="11" t="s">
        <v>36</v>
      </c>
      <c r="N185" s="18">
        <v>44633</v>
      </c>
      <c r="O185" s="19">
        <v>999.95</v>
      </c>
      <c r="P185" s="3">
        <f t="shared" ca="1" si="10"/>
        <v>123</v>
      </c>
      <c r="Q185" s="3" t="str">
        <f t="shared" si="11"/>
        <v>Normal</v>
      </c>
      <c r="R185" s="3">
        <f t="shared" si="12"/>
        <v>15</v>
      </c>
      <c r="T185" s="21" t="str">
        <f t="shared" si="14"/>
        <v>NC</v>
      </c>
    </row>
    <row r="186" spans="1:20" ht="31.5">
      <c r="A186" s="11" t="s">
        <v>331</v>
      </c>
      <c r="B186" s="18">
        <v>45667</v>
      </c>
      <c r="C186" s="18" t="str">
        <f t="shared" si="13"/>
        <v>January</v>
      </c>
      <c r="D186" s="11" t="s">
        <v>93</v>
      </c>
      <c r="E186" s="11" t="s">
        <v>94</v>
      </c>
      <c r="F186" s="11" t="s">
        <v>17</v>
      </c>
      <c r="G186" s="11" t="s">
        <v>18</v>
      </c>
      <c r="H186" s="11" t="s">
        <v>19</v>
      </c>
      <c r="I186" s="17">
        <v>5</v>
      </c>
      <c r="J186" s="17">
        <v>249.99</v>
      </c>
      <c r="K186" s="11" t="s">
        <v>26</v>
      </c>
      <c r="L186" s="11" t="s">
        <v>35</v>
      </c>
      <c r="M186" s="11" t="s">
        <v>22</v>
      </c>
      <c r="N186" s="18">
        <v>45330</v>
      </c>
      <c r="O186" s="19">
        <v>1249.95</v>
      </c>
      <c r="P186" s="3">
        <f t="shared" ca="1" si="10"/>
        <v>122</v>
      </c>
      <c r="Q186" s="3" t="str">
        <f t="shared" si="11"/>
        <v>Normal</v>
      </c>
      <c r="R186" s="3">
        <f t="shared" si="12"/>
        <v>26</v>
      </c>
      <c r="T186" s="21" t="str">
        <f t="shared" si="14"/>
        <v>VS</v>
      </c>
    </row>
    <row r="187" spans="1:20">
      <c r="A187" s="11" t="s">
        <v>332</v>
      </c>
      <c r="B187" s="18">
        <v>45668</v>
      </c>
      <c r="C187" s="18" t="str">
        <f t="shared" si="13"/>
        <v>January</v>
      </c>
      <c r="D187" s="11" t="s">
        <v>138</v>
      </c>
      <c r="E187" s="11" t="s">
        <v>139</v>
      </c>
      <c r="F187" s="11" t="s">
        <v>52</v>
      </c>
      <c r="G187" s="11" t="s">
        <v>53</v>
      </c>
      <c r="H187" s="11" t="s">
        <v>19</v>
      </c>
      <c r="I187" s="17">
        <v>4</v>
      </c>
      <c r="J187" s="17">
        <v>149.99</v>
      </c>
      <c r="K187" s="11" t="s">
        <v>57</v>
      </c>
      <c r="L187" s="11" t="s">
        <v>63</v>
      </c>
      <c r="M187" s="11" t="s">
        <v>36</v>
      </c>
      <c r="N187" s="18">
        <v>44536</v>
      </c>
      <c r="O187" s="19">
        <v>599.96</v>
      </c>
      <c r="P187" s="3">
        <f t="shared" ca="1" si="10"/>
        <v>124</v>
      </c>
      <c r="Q187" s="3" t="str">
        <f t="shared" si="11"/>
        <v>Normal</v>
      </c>
      <c r="R187" s="3">
        <f t="shared" si="12"/>
        <v>16</v>
      </c>
      <c r="T187" s="21" t="str">
        <f t="shared" si="14"/>
        <v>ST</v>
      </c>
    </row>
    <row r="188" spans="1:20" ht="31.5">
      <c r="A188" s="11" t="s">
        <v>333</v>
      </c>
      <c r="B188" s="18">
        <v>45668</v>
      </c>
      <c r="C188" s="18" t="str">
        <f t="shared" si="13"/>
        <v>January</v>
      </c>
      <c r="D188" s="11" t="s">
        <v>78</v>
      </c>
      <c r="E188" s="11" t="s">
        <v>79</v>
      </c>
      <c r="F188" s="11" t="s">
        <v>80</v>
      </c>
      <c r="G188" s="11" t="s">
        <v>81</v>
      </c>
      <c r="H188" s="11" t="s">
        <v>19</v>
      </c>
      <c r="I188" s="17">
        <v>3</v>
      </c>
      <c r="J188" s="17">
        <v>699.99</v>
      </c>
      <c r="K188" s="11" t="s">
        <v>20</v>
      </c>
      <c r="L188" s="11" t="s">
        <v>40</v>
      </c>
      <c r="M188" s="11" t="s">
        <v>27</v>
      </c>
      <c r="N188" s="18">
        <v>44602</v>
      </c>
      <c r="O188" s="19">
        <v>2099.9699999999998</v>
      </c>
      <c r="P188" s="3">
        <f t="shared" ca="1" si="10"/>
        <v>120</v>
      </c>
      <c r="Q188" s="3" t="str">
        <f t="shared" si="11"/>
        <v>High Value</v>
      </c>
      <c r="R188" s="3">
        <f t="shared" si="12"/>
        <v>31</v>
      </c>
      <c r="T188" s="21" t="str">
        <f t="shared" si="14"/>
        <v>MR</v>
      </c>
    </row>
    <row r="189" spans="1:20" ht="31.5">
      <c r="A189" s="11" t="s">
        <v>334</v>
      </c>
      <c r="B189" s="18">
        <v>45670</v>
      </c>
      <c r="C189" s="18" t="str">
        <f t="shared" si="13"/>
        <v>January</v>
      </c>
      <c r="D189" s="11" t="s">
        <v>293</v>
      </c>
      <c r="E189" s="11" t="s">
        <v>294</v>
      </c>
      <c r="F189" s="11" t="s">
        <v>114</v>
      </c>
      <c r="G189" s="11" t="s">
        <v>115</v>
      </c>
      <c r="H189" s="11" t="s">
        <v>33</v>
      </c>
      <c r="I189" s="17">
        <v>1</v>
      </c>
      <c r="J189" s="17">
        <v>79.989999999999995</v>
      </c>
      <c r="K189" s="11" t="s">
        <v>26</v>
      </c>
      <c r="L189" s="11" t="s">
        <v>35</v>
      </c>
      <c r="M189" s="11" t="s">
        <v>22</v>
      </c>
      <c r="N189" s="18">
        <v>45322</v>
      </c>
      <c r="O189" s="19">
        <v>79.989999999999995</v>
      </c>
      <c r="P189" s="3">
        <f t="shared" ca="1" si="10"/>
        <v>126</v>
      </c>
      <c r="Q189" s="3" t="str">
        <f t="shared" si="11"/>
        <v>Normal</v>
      </c>
      <c r="R189" s="3">
        <f t="shared" si="12"/>
        <v>14</v>
      </c>
      <c r="T189" s="21" t="str">
        <f t="shared" si="14"/>
        <v>DW</v>
      </c>
    </row>
    <row r="190" spans="1:20">
      <c r="A190" s="11" t="s">
        <v>335</v>
      </c>
      <c r="B190" s="18">
        <v>45670</v>
      </c>
      <c r="C190" s="18" t="str">
        <f t="shared" si="13"/>
        <v>January</v>
      </c>
      <c r="D190" s="11" t="s">
        <v>86</v>
      </c>
      <c r="E190" s="11" t="s">
        <v>87</v>
      </c>
      <c r="F190" s="11" t="s">
        <v>105</v>
      </c>
      <c r="G190" s="11" t="s">
        <v>106</v>
      </c>
      <c r="H190" s="11" t="s">
        <v>46</v>
      </c>
      <c r="I190" s="17">
        <v>1</v>
      </c>
      <c r="J190" s="17">
        <v>299.99</v>
      </c>
      <c r="K190" s="11" t="s">
        <v>26</v>
      </c>
      <c r="L190" s="11" t="s">
        <v>40</v>
      </c>
      <c r="M190" s="11" t="s">
        <v>22</v>
      </c>
      <c r="N190" s="18">
        <v>44436</v>
      </c>
      <c r="O190" s="19">
        <v>299.99</v>
      </c>
      <c r="P190" s="3">
        <f t="shared" ca="1" si="10"/>
        <v>125</v>
      </c>
      <c r="Q190" s="3" t="str">
        <f t="shared" si="11"/>
        <v>Normal</v>
      </c>
      <c r="R190" s="3">
        <f t="shared" si="12"/>
        <v>26</v>
      </c>
      <c r="T190" s="21" t="str">
        <f t="shared" si="14"/>
        <v>MC</v>
      </c>
    </row>
    <row r="191" spans="1:20" ht="31.5">
      <c r="A191" s="11" t="s">
        <v>336</v>
      </c>
      <c r="B191" s="18">
        <v>45671</v>
      </c>
      <c r="C191" s="18" t="str">
        <f t="shared" si="13"/>
        <v>January</v>
      </c>
      <c r="D191" s="11" t="s">
        <v>158</v>
      </c>
      <c r="E191" s="11" t="s">
        <v>159</v>
      </c>
      <c r="F191" s="11" t="s">
        <v>17</v>
      </c>
      <c r="G191" s="11" t="s">
        <v>18</v>
      </c>
      <c r="H191" s="11" t="s">
        <v>19</v>
      </c>
      <c r="I191" s="17">
        <v>4</v>
      </c>
      <c r="J191" s="17">
        <v>249.99</v>
      </c>
      <c r="K191" s="11" t="s">
        <v>26</v>
      </c>
      <c r="L191" s="11" t="s">
        <v>40</v>
      </c>
      <c r="M191" s="11" t="s">
        <v>27</v>
      </c>
      <c r="N191" s="18">
        <v>44460</v>
      </c>
      <c r="O191" s="19">
        <v>999.96</v>
      </c>
      <c r="P191" s="3">
        <f t="shared" ca="1" si="10"/>
        <v>123</v>
      </c>
      <c r="Q191" s="3" t="str">
        <f t="shared" si="11"/>
        <v>Normal</v>
      </c>
      <c r="R191" s="3">
        <f t="shared" si="12"/>
        <v>26</v>
      </c>
      <c r="T191" s="21" t="str">
        <f t="shared" si="14"/>
        <v>BC</v>
      </c>
    </row>
    <row r="192" spans="1:20">
      <c r="A192" s="11" t="s">
        <v>337</v>
      </c>
      <c r="B192" s="18">
        <v>45671</v>
      </c>
      <c r="C192" s="18" t="str">
        <f t="shared" si="13"/>
        <v>January</v>
      </c>
      <c r="D192" s="11" t="s">
        <v>120</v>
      </c>
      <c r="E192" s="11" t="s">
        <v>121</v>
      </c>
      <c r="F192" s="11" t="s">
        <v>52</v>
      </c>
      <c r="G192" s="11" t="s">
        <v>53</v>
      </c>
      <c r="H192" s="11" t="s">
        <v>19</v>
      </c>
      <c r="I192" s="17">
        <v>2</v>
      </c>
      <c r="J192" s="17">
        <v>149.99</v>
      </c>
      <c r="K192" s="11" t="s">
        <v>20</v>
      </c>
      <c r="L192" s="11" t="s">
        <v>40</v>
      </c>
      <c r="M192" s="11" t="s">
        <v>36</v>
      </c>
      <c r="N192" s="18">
        <v>44913</v>
      </c>
      <c r="O192" s="19">
        <v>299.98</v>
      </c>
      <c r="P192" s="3">
        <f t="shared" ca="1" si="10"/>
        <v>125</v>
      </c>
      <c r="Q192" s="3" t="str">
        <f t="shared" si="11"/>
        <v>Normal</v>
      </c>
      <c r="R192" s="3">
        <f t="shared" si="12"/>
        <v>16</v>
      </c>
      <c r="T192" s="21" t="str">
        <f t="shared" si="14"/>
        <v>HR</v>
      </c>
    </row>
    <row r="193" spans="1:20" ht="31.5">
      <c r="A193" s="11" t="s">
        <v>338</v>
      </c>
      <c r="B193" s="18">
        <v>45671</v>
      </c>
      <c r="C193" s="18" t="str">
        <f t="shared" si="13"/>
        <v>January</v>
      </c>
      <c r="D193" s="11" t="s">
        <v>234</v>
      </c>
      <c r="E193" s="11" t="s">
        <v>235</v>
      </c>
      <c r="F193" s="11" t="s">
        <v>105</v>
      </c>
      <c r="G193" s="11" t="s">
        <v>106</v>
      </c>
      <c r="H193" s="11" t="s">
        <v>46</v>
      </c>
      <c r="I193" s="17">
        <v>3</v>
      </c>
      <c r="J193" s="17">
        <v>299.99</v>
      </c>
      <c r="K193" s="11" t="s">
        <v>26</v>
      </c>
      <c r="L193" s="11" t="s">
        <v>35</v>
      </c>
      <c r="M193" s="11" t="s">
        <v>22</v>
      </c>
      <c r="N193" s="18">
        <v>45204</v>
      </c>
      <c r="O193" s="19">
        <v>899.97</v>
      </c>
      <c r="P193" s="3">
        <f t="shared" ca="1" si="10"/>
        <v>123</v>
      </c>
      <c r="Q193" s="3" t="str">
        <f t="shared" si="11"/>
        <v>Normal</v>
      </c>
      <c r="R193" s="3">
        <f t="shared" si="12"/>
        <v>26</v>
      </c>
      <c r="T193" s="21" t="str">
        <f t="shared" si="14"/>
        <v>SP</v>
      </c>
    </row>
    <row r="194" spans="1:20" ht="31.5">
      <c r="A194" s="11" t="s">
        <v>339</v>
      </c>
      <c r="B194" s="18">
        <v>45673</v>
      </c>
      <c r="C194" s="18" t="str">
        <f t="shared" si="13"/>
        <v>January</v>
      </c>
      <c r="D194" s="11" t="s">
        <v>226</v>
      </c>
      <c r="E194" s="11" t="s">
        <v>227</v>
      </c>
      <c r="F194" s="11" t="s">
        <v>126</v>
      </c>
      <c r="G194" s="11" t="s">
        <v>127</v>
      </c>
      <c r="H194" s="11" t="s">
        <v>46</v>
      </c>
      <c r="I194" s="17">
        <v>4</v>
      </c>
      <c r="J194" s="17">
        <v>199.99</v>
      </c>
      <c r="K194" s="11" t="s">
        <v>57</v>
      </c>
      <c r="L194" s="11" t="s">
        <v>35</v>
      </c>
      <c r="M194" s="11" t="s">
        <v>36</v>
      </c>
      <c r="N194" s="18">
        <v>44544</v>
      </c>
      <c r="O194" s="19">
        <v>799.96</v>
      </c>
      <c r="P194" s="3">
        <f t="shared" ref="P194:P251" ca="1" si="15">DATEDIF(O194,TODAY(),"Y")</f>
        <v>124</v>
      </c>
      <c r="Q194" s="3" t="str">
        <f t="shared" ref="Q194:Q251" si="16">IF(O194&gt;2000,"High Value","Normal")</f>
        <v>Normal</v>
      </c>
      <c r="R194" s="3">
        <f t="shared" ref="R194:R251" si="17">COUNTIF(G:G,G194)</f>
        <v>15</v>
      </c>
      <c r="T194" s="21" t="str">
        <f t="shared" si="14"/>
        <v>LR</v>
      </c>
    </row>
    <row r="195" spans="1:20">
      <c r="A195" s="11" t="s">
        <v>340</v>
      </c>
      <c r="B195" s="18">
        <v>45673</v>
      </c>
      <c r="C195" s="18" t="str">
        <f t="shared" ref="C195:C251" si="18">TEXT(B195,"mmmm")</f>
        <v>January</v>
      </c>
      <c r="D195" s="11" t="s">
        <v>211</v>
      </c>
      <c r="E195" s="11" t="s">
        <v>212</v>
      </c>
      <c r="F195" s="11" t="s">
        <v>105</v>
      </c>
      <c r="G195" s="11" t="s">
        <v>106</v>
      </c>
      <c r="H195" s="11" t="s">
        <v>46</v>
      </c>
      <c r="I195" s="17">
        <v>5</v>
      </c>
      <c r="J195" s="17">
        <v>299.99</v>
      </c>
      <c r="K195" s="11" t="s">
        <v>57</v>
      </c>
      <c r="L195" s="11" t="s">
        <v>21</v>
      </c>
      <c r="M195" s="11" t="s">
        <v>22</v>
      </c>
      <c r="N195" s="18">
        <v>44431</v>
      </c>
      <c r="O195" s="19">
        <v>1499.95</v>
      </c>
      <c r="P195" s="3">
        <f t="shared" ca="1" si="15"/>
        <v>122</v>
      </c>
      <c r="Q195" s="3" t="str">
        <f t="shared" si="16"/>
        <v>Normal</v>
      </c>
      <c r="R195" s="3">
        <f t="shared" si="17"/>
        <v>26</v>
      </c>
      <c r="T195" s="21" t="str">
        <f t="shared" ref="T195:T251" si="19">LEFT(E195,1)&amp;MID(E195,FIND(" ",E195)+1,1)</f>
        <v>EH</v>
      </c>
    </row>
    <row r="196" spans="1:20" ht="31.5">
      <c r="A196" s="11" t="s">
        <v>341</v>
      </c>
      <c r="B196" s="18">
        <v>45673</v>
      </c>
      <c r="C196" s="18" t="str">
        <f t="shared" si="18"/>
        <v>January</v>
      </c>
      <c r="D196" s="11" t="s">
        <v>59</v>
      </c>
      <c r="E196" s="11" t="s">
        <v>60</v>
      </c>
      <c r="F196" s="11" t="s">
        <v>44</v>
      </c>
      <c r="G196" s="11" t="s">
        <v>45</v>
      </c>
      <c r="H196" s="11" t="s">
        <v>46</v>
      </c>
      <c r="I196" s="17">
        <v>3</v>
      </c>
      <c r="J196" s="17">
        <v>149.99</v>
      </c>
      <c r="K196" s="11" t="s">
        <v>26</v>
      </c>
      <c r="L196" s="11" t="s">
        <v>63</v>
      </c>
      <c r="M196" s="11" t="s">
        <v>36</v>
      </c>
      <c r="N196" s="18">
        <v>44395</v>
      </c>
      <c r="O196" s="19">
        <v>449.97</v>
      </c>
      <c r="P196" s="3">
        <f t="shared" ca="1" si="15"/>
        <v>125</v>
      </c>
      <c r="Q196" s="3" t="str">
        <f t="shared" si="16"/>
        <v>Normal</v>
      </c>
      <c r="R196" s="3">
        <f t="shared" si="17"/>
        <v>35</v>
      </c>
      <c r="T196" s="21" t="str">
        <f t="shared" si="19"/>
        <v>RT</v>
      </c>
    </row>
    <row r="197" spans="1:20">
      <c r="A197" s="11" t="s">
        <v>342</v>
      </c>
      <c r="B197" s="18">
        <v>45676</v>
      </c>
      <c r="C197" s="18" t="str">
        <f t="shared" si="18"/>
        <v>January</v>
      </c>
      <c r="D197" s="11" t="s">
        <v>129</v>
      </c>
      <c r="E197" s="11" t="s">
        <v>130</v>
      </c>
      <c r="F197" s="11" t="s">
        <v>31</v>
      </c>
      <c r="G197" s="11" t="s">
        <v>32</v>
      </c>
      <c r="H197" s="11" t="s">
        <v>33</v>
      </c>
      <c r="I197" s="17">
        <v>5</v>
      </c>
      <c r="J197" s="17">
        <v>59.99</v>
      </c>
      <c r="K197" s="11" t="s">
        <v>57</v>
      </c>
      <c r="L197" s="11" t="s">
        <v>63</v>
      </c>
      <c r="M197" s="11" t="s">
        <v>22</v>
      </c>
      <c r="N197" s="18">
        <v>44642</v>
      </c>
      <c r="O197" s="19">
        <v>299.95</v>
      </c>
      <c r="P197" s="3">
        <f t="shared" ca="1" si="15"/>
        <v>125</v>
      </c>
      <c r="Q197" s="3" t="str">
        <f t="shared" si="16"/>
        <v>Normal</v>
      </c>
      <c r="R197" s="3">
        <f t="shared" si="17"/>
        <v>29</v>
      </c>
      <c r="T197" s="21" t="str">
        <f t="shared" si="19"/>
        <v>LA</v>
      </c>
    </row>
    <row r="198" spans="1:20">
      <c r="A198" s="11" t="s">
        <v>343</v>
      </c>
      <c r="B198" s="18">
        <v>45682</v>
      </c>
      <c r="C198" s="18" t="str">
        <f t="shared" si="18"/>
        <v>January</v>
      </c>
      <c r="D198" s="11" t="s">
        <v>68</v>
      </c>
      <c r="E198" s="11" t="s">
        <v>69</v>
      </c>
      <c r="F198" s="11" t="s">
        <v>31</v>
      </c>
      <c r="G198" s="11" t="s">
        <v>32</v>
      </c>
      <c r="H198" s="11" t="s">
        <v>33</v>
      </c>
      <c r="I198" s="17">
        <v>4</v>
      </c>
      <c r="J198" s="17">
        <v>59.99</v>
      </c>
      <c r="K198" s="11" t="s">
        <v>57</v>
      </c>
      <c r="L198" s="11" t="s">
        <v>63</v>
      </c>
      <c r="M198" s="11" t="s">
        <v>36</v>
      </c>
      <c r="N198" s="18">
        <v>44564</v>
      </c>
      <c r="O198" s="19">
        <v>239.96</v>
      </c>
      <c r="P198" s="3">
        <f t="shared" ca="1" si="15"/>
        <v>125</v>
      </c>
      <c r="Q198" s="3" t="str">
        <f t="shared" si="16"/>
        <v>Normal</v>
      </c>
      <c r="R198" s="3">
        <f t="shared" si="17"/>
        <v>29</v>
      </c>
      <c r="T198" s="21" t="str">
        <f t="shared" si="19"/>
        <v>SG</v>
      </c>
    </row>
    <row r="199" spans="1:20" ht="31.5">
      <c r="A199" s="11" t="s">
        <v>344</v>
      </c>
      <c r="B199" s="18">
        <v>45683</v>
      </c>
      <c r="C199" s="18" t="str">
        <f t="shared" si="18"/>
        <v>January</v>
      </c>
      <c r="D199" s="11" t="s">
        <v>48</v>
      </c>
      <c r="E199" s="11" t="s">
        <v>49</v>
      </c>
      <c r="F199" s="11" t="s">
        <v>17</v>
      </c>
      <c r="G199" s="11" t="s">
        <v>18</v>
      </c>
      <c r="H199" s="11" t="s">
        <v>19</v>
      </c>
      <c r="I199" s="17">
        <v>4</v>
      </c>
      <c r="J199" s="17">
        <v>249.99</v>
      </c>
      <c r="K199" s="11" t="s">
        <v>57</v>
      </c>
      <c r="L199" s="11" t="s">
        <v>21</v>
      </c>
      <c r="M199" s="11" t="s">
        <v>27</v>
      </c>
      <c r="N199" s="18">
        <v>45217</v>
      </c>
      <c r="O199" s="19">
        <v>999.96</v>
      </c>
      <c r="P199" s="3">
        <f t="shared" ca="1" si="15"/>
        <v>123</v>
      </c>
      <c r="Q199" s="3" t="str">
        <f t="shared" si="16"/>
        <v>Normal</v>
      </c>
      <c r="R199" s="3">
        <f t="shared" si="17"/>
        <v>26</v>
      </c>
      <c r="T199" s="21" t="str">
        <f t="shared" si="19"/>
        <v>DN</v>
      </c>
    </row>
    <row r="200" spans="1:20">
      <c r="A200" s="11" t="s">
        <v>345</v>
      </c>
      <c r="B200" s="18">
        <v>45686</v>
      </c>
      <c r="C200" s="18" t="str">
        <f t="shared" si="18"/>
        <v>January</v>
      </c>
      <c r="D200" s="11" t="s">
        <v>252</v>
      </c>
      <c r="E200" s="11" t="s">
        <v>253</v>
      </c>
      <c r="F200" s="11" t="s">
        <v>61</v>
      </c>
      <c r="G200" s="11" t="s">
        <v>62</v>
      </c>
      <c r="H200" s="11" t="s">
        <v>19</v>
      </c>
      <c r="I200" s="17">
        <v>4</v>
      </c>
      <c r="J200" s="17">
        <v>899.99</v>
      </c>
      <c r="K200" s="11" t="s">
        <v>34</v>
      </c>
      <c r="L200" s="11" t="s">
        <v>21</v>
      </c>
      <c r="M200" s="11" t="s">
        <v>22</v>
      </c>
      <c r="N200" s="18">
        <v>44734</v>
      </c>
      <c r="O200" s="19">
        <v>3599.96</v>
      </c>
      <c r="P200" s="3">
        <f t="shared" ca="1" si="15"/>
        <v>116</v>
      </c>
      <c r="Q200" s="3" t="str">
        <f t="shared" si="16"/>
        <v>High Value</v>
      </c>
      <c r="R200" s="3">
        <f t="shared" si="17"/>
        <v>24</v>
      </c>
      <c r="T200" s="21" t="str">
        <f t="shared" si="19"/>
        <v>WW</v>
      </c>
    </row>
    <row r="201" spans="1:20">
      <c r="A201" s="11" t="s">
        <v>346</v>
      </c>
      <c r="B201" s="18">
        <v>45686</v>
      </c>
      <c r="C201" s="18" t="str">
        <f t="shared" si="18"/>
        <v>January</v>
      </c>
      <c r="D201" s="11" t="s">
        <v>86</v>
      </c>
      <c r="E201" s="11" t="s">
        <v>87</v>
      </c>
      <c r="F201" s="11" t="s">
        <v>105</v>
      </c>
      <c r="G201" s="11" t="s">
        <v>106</v>
      </c>
      <c r="H201" s="11" t="s">
        <v>46</v>
      </c>
      <c r="I201" s="17">
        <v>3</v>
      </c>
      <c r="J201" s="17">
        <v>299.99</v>
      </c>
      <c r="K201" s="11" t="s">
        <v>57</v>
      </c>
      <c r="L201" s="11" t="s">
        <v>50</v>
      </c>
      <c r="M201" s="11" t="s">
        <v>36</v>
      </c>
      <c r="N201" s="18">
        <v>44952</v>
      </c>
      <c r="O201" s="19">
        <v>899.97</v>
      </c>
      <c r="P201" s="3">
        <f t="shared" ca="1" si="15"/>
        <v>123</v>
      </c>
      <c r="Q201" s="3" t="str">
        <f t="shared" si="16"/>
        <v>Normal</v>
      </c>
      <c r="R201" s="3">
        <f t="shared" si="17"/>
        <v>26</v>
      </c>
      <c r="T201" s="21" t="str">
        <f t="shared" si="19"/>
        <v>MC</v>
      </c>
    </row>
    <row r="202" spans="1:20" ht="31.5">
      <c r="A202" s="11" t="s">
        <v>347</v>
      </c>
      <c r="B202" s="18">
        <v>45686</v>
      </c>
      <c r="C202" s="18" t="str">
        <f t="shared" si="18"/>
        <v>January</v>
      </c>
      <c r="D202" s="11" t="s">
        <v>293</v>
      </c>
      <c r="E202" s="11" t="s">
        <v>294</v>
      </c>
      <c r="F202" s="11" t="s">
        <v>80</v>
      </c>
      <c r="G202" s="11" t="s">
        <v>81</v>
      </c>
      <c r="H202" s="11" t="s">
        <v>19</v>
      </c>
      <c r="I202" s="17">
        <v>2</v>
      </c>
      <c r="J202" s="17">
        <v>699.99</v>
      </c>
      <c r="K202" s="11" t="s">
        <v>57</v>
      </c>
      <c r="L202" s="11" t="s">
        <v>21</v>
      </c>
      <c r="M202" s="11" t="s">
        <v>27</v>
      </c>
      <c r="N202" s="18">
        <v>44681</v>
      </c>
      <c r="O202" s="19">
        <v>1399.98</v>
      </c>
      <c r="P202" s="3">
        <f t="shared" ca="1" si="15"/>
        <v>122</v>
      </c>
      <c r="Q202" s="3" t="str">
        <f t="shared" si="16"/>
        <v>Normal</v>
      </c>
      <c r="R202" s="3">
        <f t="shared" si="17"/>
        <v>31</v>
      </c>
      <c r="T202" s="21" t="str">
        <f t="shared" si="19"/>
        <v>DW</v>
      </c>
    </row>
    <row r="203" spans="1:20">
      <c r="A203" s="11" t="s">
        <v>348</v>
      </c>
      <c r="B203" s="18">
        <v>45688</v>
      </c>
      <c r="C203" s="18" t="str">
        <f t="shared" si="18"/>
        <v>January</v>
      </c>
      <c r="D203" s="11" t="s">
        <v>65</v>
      </c>
      <c r="E203" s="11" t="s">
        <v>66</v>
      </c>
      <c r="F203" s="11" t="s">
        <v>80</v>
      </c>
      <c r="G203" s="11" t="s">
        <v>81</v>
      </c>
      <c r="H203" s="11" t="s">
        <v>19</v>
      </c>
      <c r="I203" s="17">
        <v>4</v>
      </c>
      <c r="J203" s="17">
        <v>699.99</v>
      </c>
      <c r="K203" s="11" t="s">
        <v>57</v>
      </c>
      <c r="L203" s="11" t="s">
        <v>50</v>
      </c>
      <c r="M203" s="11" t="s">
        <v>27</v>
      </c>
      <c r="N203" s="18">
        <v>44692</v>
      </c>
      <c r="O203" s="19">
        <v>2799.96</v>
      </c>
      <c r="P203" s="3">
        <f t="shared" ca="1" si="15"/>
        <v>118</v>
      </c>
      <c r="Q203" s="3" t="str">
        <f t="shared" si="16"/>
        <v>High Value</v>
      </c>
      <c r="R203" s="3">
        <f t="shared" si="17"/>
        <v>31</v>
      </c>
      <c r="T203" s="21" t="str">
        <f t="shared" si="19"/>
        <v>KH</v>
      </c>
    </row>
    <row r="204" spans="1:20" ht="31.5">
      <c r="A204" s="11" t="s">
        <v>349</v>
      </c>
      <c r="B204" s="18">
        <v>45688</v>
      </c>
      <c r="C204" s="18" t="str">
        <f t="shared" si="18"/>
        <v>January</v>
      </c>
      <c r="D204" s="11" t="s">
        <v>123</v>
      </c>
      <c r="E204" s="11" t="s">
        <v>124</v>
      </c>
      <c r="F204" s="11" t="s">
        <v>117</v>
      </c>
      <c r="G204" s="11" t="s">
        <v>118</v>
      </c>
      <c r="H204" s="11" t="s">
        <v>19</v>
      </c>
      <c r="I204" s="17">
        <v>2</v>
      </c>
      <c r="J204" s="17">
        <v>89.99</v>
      </c>
      <c r="K204" s="11" t="s">
        <v>57</v>
      </c>
      <c r="L204" s="11" t="s">
        <v>35</v>
      </c>
      <c r="M204" s="11" t="s">
        <v>22</v>
      </c>
      <c r="N204" s="18">
        <v>44777</v>
      </c>
      <c r="O204" s="19">
        <v>179.98</v>
      </c>
      <c r="P204" s="3">
        <f t="shared" ca="1" si="15"/>
        <v>125</v>
      </c>
      <c r="Q204" s="3" t="str">
        <f t="shared" si="16"/>
        <v>Normal</v>
      </c>
      <c r="R204" s="3">
        <f t="shared" si="17"/>
        <v>34</v>
      </c>
      <c r="T204" s="21" t="str">
        <f t="shared" si="19"/>
        <v>EM</v>
      </c>
    </row>
    <row r="205" spans="1:20" ht="31.5">
      <c r="A205" s="11" t="s">
        <v>350</v>
      </c>
      <c r="B205" s="18">
        <v>45688</v>
      </c>
      <c r="C205" s="18" t="str">
        <f t="shared" si="18"/>
        <v>January</v>
      </c>
      <c r="D205" s="11" t="s">
        <v>42</v>
      </c>
      <c r="E205" s="11" t="s">
        <v>43</v>
      </c>
      <c r="F205" s="11" t="s">
        <v>117</v>
      </c>
      <c r="G205" s="11" t="s">
        <v>118</v>
      </c>
      <c r="H205" s="11" t="s">
        <v>19</v>
      </c>
      <c r="I205" s="17">
        <v>3</v>
      </c>
      <c r="J205" s="17">
        <v>89.99</v>
      </c>
      <c r="K205" s="11" t="s">
        <v>57</v>
      </c>
      <c r="L205" s="11" t="s">
        <v>35</v>
      </c>
      <c r="M205" s="11" t="s">
        <v>27</v>
      </c>
      <c r="N205" s="18">
        <v>45307</v>
      </c>
      <c r="O205" s="19">
        <v>269.97000000000003</v>
      </c>
      <c r="P205" s="3">
        <f t="shared" ca="1" si="15"/>
        <v>125</v>
      </c>
      <c r="Q205" s="3" t="str">
        <f t="shared" si="16"/>
        <v>Normal</v>
      </c>
      <c r="R205" s="3">
        <f t="shared" si="17"/>
        <v>34</v>
      </c>
      <c r="T205" s="21" t="str">
        <f t="shared" si="19"/>
        <v>MB</v>
      </c>
    </row>
    <row r="206" spans="1:20" ht="31.5">
      <c r="A206" s="11" t="s">
        <v>351</v>
      </c>
      <c r="B206" s="18">
        <v>45692</v>
      </c>
      <c r="C206" s="18" t="str">
        <f t="shared" si="18"/>
        <v>February</v>
      </c>
      <c r="D206" s="11" t="s">
        <v>325</v>
      </c>
      <c r="E206" s="11" t="s">
        <v>326</v>
      </c>
      <c r="F206" s="11" t="s">
        <v>31</v>
      </c>
      <c r="G206" s="11" t="s">
        <v>32</v>
      </c>
      <c r="H206" s="11" t="s">
        <v>33</v>
      </c>
      <c r="I206" s="17">
        <v>1</v>
      </c>
      <c r="J206" s="17">
        <v>59.99</v>
      </c>
      <c r="K206" s="11" t="s">
        <v>57</v>
      </c>
      <c r="L206" s="11" t="s">
        <v>21</v>
      </c>
      <c r="M206" s="11" t="s">
        <v>36</v>
      </c>
      <c r="N206" s="18">
        <v>45045</v>
      </c>
      <c r="O206" s="19">
        <v>59.99</v>
      </c>
      <c r="P206" s="3">
        <f t="shared" ca="1" si="15"/>
        <v>126</v>
      </c>
      <c r="Q206" s="3" t="str">
        <f t="shared" si="16"/>
        <v>Normal</v>
      </c>
      <c r="R206" s="3">
        <f t="shared" si="17"/>
        <v>29</v>
      </c>
      <c r="T206" s="21" t="str">
        <f t="shared" si="19"/>
        <v>AE</v>
      </c>
    </row>
    <row r="207" spans="1:20">
      <c r="A207" s="11" t="s">
        <v>352</v>
      </c>
      <c r="B207" s="18">
        <v>45695</v>
      </c>
      <c r="C207" s="18" t="str">
        <f t="shared" si="18"/>
        <v>February</v>
      </c>
      <c r="D207" s="11" t="s">
        <v>246</v>
      </c>
      <c r="E207" s="11" t="s">
        <v>247</v>
      </c>
      <c r="F207" s="11" t="s">
        <v>44</v>
      </c>
      <c r="G207" s="11" t="s">
        <v>45</v>
      </c>
      <c r="H207" s="11" t="s">
        <v>46</v>
      </c>
      <c r="I207" s="17">
        <v>3</v>
      </c>
      <c r="J207" s="17">
        <v>149.99</v>
      </c>
      <c r="K207" s="11" t="s">
        <v>57</v>
      </c>
      <c r="L207" s="11" t="s">
        <v>40</v>
      </c>
      <c r="M207" s="11" t="s">
        <v>27</v>
      </c>
      <c r="N207" s="18">
        <v>44564</v>
      </c>
      <c r="O207" s="19">
        <v>449.97</v>
      </c>
      <c r="P207" s="3">
        <f t="shared" ca="1" si="15"/>
        <v>125</v>
      </c>
      <c r="Q207" s="3" t="str">
        <f t="shared" si="16"/>
        <v>Normal</v>
      </c>
      <c r="R207" s="3">
        <f t="shared" si="17"/>
        <v>35</v>
      </c>
      <c r="T207" s="21" t="str">
        <f t="shared" si="19"/>
        <v>RB</v>
      </c>
    </row>
    <row r="208" spans="1:20" ht="31.5">
      <c r="A208" s="11" t="s">
        <v>353</v>
      </c>
      <c r="B208" s="18">
        <v>45695</v>
      </c>
      <c r="C208" s="18" t="str">
        <f t="shared" si="18"/>
        <v>February</v>
      </c>
      <c r="D208" s="11" t="s">
        <v>93</v>
      </c>
      <c r="E208" s="11" t="s">
        <v>94</v>
      </c>
      <c r="F208" s="11" t="s">
        <v>105</v>
      </c>
      <c r="G208" s="11" t="s">
        <v>106</v>
      </c>
      <c r="H208" s="11" t="s">
        <v>46</v>
      </c>
      <c r="I208" s="17">
        <v>5</v>
      </c>
      <c r="J208" s="17">
        <v>299.99</v>
      </c>
      <c r="K208" s="11" t="s">
        <v>26</v>
      </c>
      <c r="L208" s="11" t="s">
        <v>35</v>
      </c>
      <c r="M208" s="11" t="s">
        <v>22</v>
      </c>
      <c r="N208" s="18">
        <v>44959</v>
      </c>
      <c r="O208" s="19">
        <v>1499.95</v>
      </c>
      <c r="P208" s="3">
        <f t="shared" ca="1" si="15"/>
        <v>122</v>
      </c>
      <c r="Q208" s="3" t="str">
        <f t="shared" si="16"/>
        <v>Normal</v>
      </c>
      <c r="R208" s="3">
        <f t="shared" si="17"/>
        <v>26</v>
      </c>
      <c r="T208" s="21" t="str">
        <f t="shared" si="19"/>
        <v>VS</v>
      </c>
    </row>
    <row r="209" spans="1:20">
      <c r="A209" s="11" t="s">
        <v>354</v>
      </c>
      <c r="B209" s="18">
        <v>45696</v>
      </c>
      <c r="C209" s="18" t="str">
        <f t="shared" si="18"/>
        <v>February</v>
      </c>
      <c r="D209" s="11" t="s">
        <v>150</v>
      </c>
      <c r="E209" s="11" t="s">
        <v>151</v>
      </c>
      <c r="F209" s="11" t="s">
        <v>31</v>
      </c>
      <c r="G209" s="11" t="s">
        <v>32</v>
      </c>
      <c r="H209" s="11" t="s">
        <v>33</v>
      </c>
      <c r="I209" s="17">
        <v>5</v>
      </c>
      <c r="J209" s="17">
        <v>59.99</v>
      </c>
      <c r="K209" s="11" t="s">
        <v>57</v>
      </c>
      <c r="L209" s="11" t="s">
        <v>21</v>
      </c>
      <c r="M209" s="11" t="s">
        <v>36</v>
      </c>
      <c r="N209" s="18">
        <v>45177</v>
      </c>
      <c r="O209" s="19">
        <v>299.95</v>
      </c>
      <c r="P209" s="3">
        <f t="shared" ca="1" si="15"/>
        <v>125</v>
      </c>
      <c r="Q209" s="3" t="str">
        <f t="shared" si="16"/>
        <v>Normal</v>
      </c>
      <c r="R209" s="3">
        <f t="shared" si="17"/>
        <v>29</v>
      </c>
      <c r="T209" s="21" t="str">
        <f t="shared" si="19"/>
        <v>SB</v>
      </c>
    </row>
    <row r="210" spans="1:20">
      <c r="A210" s="11" t="s">
        <v>355</v>
      </c>
      <c r="B210" s="18">
        <v>45701</v>
      </c>
      <c r="C210" s="18" t="str">
        <f t="shared" si="18"/>
        <v>February</v>
      </c>
      <c r="D210" s="11" t="s">
        <v>108</v>
      </c>
      <c r="E210" s="11" t="s">
        <v>109</v>
      </c>
      <c r="F210" s="11" t="s">
        <v>114</v>
      </c>
      <c r="G210" s="11" t="s">
        <v>115</v>
      </c>
      <c r="H210" s="11" t="s">
        <v>33</v>
      </c>
      <c r="I210" s="17">
        <v>3</v>
      </c>
      <c r="J210" s="17">
        <v>79.989999999999995</v>
      </c>
      <c r="K210" s="11" t="s">
        <v>20</v>
      </c>
      <c r="L210" s="11" t="s">
        <v>63</v>
      </c>
      <c r="M210" s="11" t="s">
        <v>27</v>
      </c>
      <c r="N210" s="18">
        <v>44436</v>
      </c>
      <c r="O210" s="19">
        <v>239.97</v>
      </c>
      <c r="P210" s="3">
        <f t="shared" ca="1" si="15"/>
        <v>125</v>
      </c>
      <c r="Q210" s="3" t="str">
        <f t="shared" si="16"/>
        <v>Normal</v>
      </c>
      <c r="R210" s="3">
        <f t="shared" si="17"/>
        <v>14</v>
      </c>
      <c r="T210" s="21" t="str">
        <f t="shared" si="19"/>
        <v>NC</v>
      </c>
    </row>
    <row r="211" spans="1:20">
      <c r="A211" s="11" t="s">
        <v>356</v>
      </c>
      <c r="B211" s="18">
        <v>45704</v>
      </c>
      <c r="C211" s="18" t="str">
        <f t="shared" si="18"/>
        <v>February</v>
      </c>
      <c r="D211" s="11" t="s">
        <v>29</v>
      </c>
      <c r="E211" s="11" t="s">
        <v>30</v>
      </c>
      <c r="F211" s="11" t="s">
        <v>126</v>
      </c>
      <c r="G211" s="11" t="s">
        <v>127</v>
      </c>
      <c r="H211" s="11" t="s">
        <v>46</v>
      </c>
      <c r="I211" s="17">
        <v>3</v>
      </c>
      <c r="J211" s="17">
        <v>199.99</v>
      </c>
      <c r="K211" s="11" t="s">
        <v>20</v>
      </c>
      <c r="L211" s="11" t="s">
        <v>21</v>
      </c>
      <c r="M211" s="11" t="s">
        <v>22</v>
      </c>
      <c r="N211" s="18">
        <v>44735</v>
      </c>
      <c r="O211" s="19">
        <v>599.97</v>
      </c>
      <c r="P211" s="3">
        <f t="shared" ca="1" si="15"/>
        <v>124</v>
      </c>
      <c r="Q211" s="3" t="str">
        <f t="shared" si="16"/>
        <v>Normal</v>
      </c>
      <c r="R211" s="3">
        <f t="shared" si="17"/>
        <v>15</v>
      </c>
      <c r="T211" s="21" t="str">
        <f t="shared" si="19"/>
        <v>KS</v>
      </c>
    </row>
    <row r="212" spans="1:20">
      <c r="A212" s="11" t="s">
        <v>357</v>
      </c>
      <c r="B212" s="18">
        <v>45704</v>
      </c>
      <c r="C212" s="18" t="str">
        <f t="shared" si="18"/>
        <v>February</v>
      </c>
      <c r="D212" s="11" t="s">
        <v>15</v>
      </c>
      <c r="E212" s="11" t="s">
        <v>16</v>
      </c>
      <c r="F212" s="11" t="s">
        <v>117</v>
      </c>
      <c r="G212" s="11" t="s">
        <v>118</v>
      </c>
      <c r="H212" s="11" t="s">
        <v>19</v>
      </c>
      <c r="I212" s="17">
        <v>2</v>
      </c>
      <c r="J212" s="17">
        <v>89.99</v>
      </c>
      <c r="K212" s="11" t="s">
        <v>34</v>
      </c>
      <c r="L212" s="11" t="s">
        <v>21</v>
      </c>
      <c r="M212" s="11" t="s">
        <v>22</v>
      </c>
      <c r="N212" s="18">
        <v>45257</v>
      </c>
      <c r="O212" s="19">
        <v>179.98</v>
      </c>
      <c r="P212" s="3">
        <f t="shared" ca="1" si="15"/>
        <v>125</v>
      </c>
      <c r="Q212" s="3" t="str">
        <f t="shared" si="16"/>
        <v>Normal</v>
      </c>
      <c r="R212" s="3">
        <f t="shared" si="17"/>
        <v>34</v>
      </c>
      <c r="T212" s="21" t="str">
        <f t="shared" si="19"/>
        <v>PB</v>
      </c>
    </row>
    <row r="213" spans="1:20">
      <c r="A213" s="11" t="s">
        <v>358</v>
      </c>
      <c r="B213" s="18">
        <v>45705</v>
      </c>
      <c r="C213" s="18" t="str">
        <f t="shared" si="18"/>
        <v>February</v>
      </c>
      <c r="D213" s="11" t="s">
        <v>259</v>
      </c>
      <c r="E213" s="11" t="s">
        <v>260</v>
      </c>
      <c r="F213" s="11" t="s">
        <v>44</v>
      </c>
      <c r="G213" s="11" t="s">
        <v>45</v>
      </c>
      <c r="H213" s="11" t="s">
        <v>46</v>
      </c>
      <c r="I213" s="17">
        <v>2</v>
      </c>
      <c r="J213" s="17">
        <v>149.99</v>
      </c>
      <c r="K213" s="11" t="s">
        <v>20</v>
      </c>
      <c r="L213" s="11" t="s">
        <v>35</v>
      </c>
      <c r="M213" s="11" t="s">
        <v>27</v>
      </c>
      <c r="N213" s="18">
        <v>44728</v>
      </c>
      <c r="O213" s="19">
        <v>299.98</v>
      </c>
      <c r="P213" s="3">
        <f t="shared" ca="1" si="15"/>
        <v>125</v>
      </c>
      <c r="Q213" s="3" t="str">
        <f t="shared" si="16"/>
        <v>Normal</v>
      </c>
      <c r="R213" s="3">
        <f t="shared" si="17"/>
        <v>35</v>
      </c>
      <c r="T213" s="21" t="str">
        <f t="shared" si="19"/>
        <v>RL</v>
      </c>
    </row>
    <row r="214" spans="1:20" ht="31.5">
      <c r="A214" s="11" t="s">
        <v>359</v>
      </c>
      <c r="B214" s="18">
        <v>45707</v>
      </c>
      <c r="C214" s="18" t="str">
        <f t="shared" si="18"/>
        <v>February</v>
      </c>
      <c r="D214" s="11" t="s">
        <v>123</v>
      </c>
      <c r="E214" s="11" t="s">
        <v>124</v>
      </c>
      <c r="F214" s="11" t="s">
        <v>80</v>
      </c>
      <c r="G214" s="11" t="s">
        <v>81</v>
      </c>
      <c r="H214" s="11" t="s">
        <v>19</v>
      </c>
      <c r="I214" s="17">
        <v>5</v>
      </c>
      <c r="J214" s="17">
        <v>699.99</v>
      </c>
      <c r="K214" s="11" t="s">
        <v>34</v>
      </c>
      <c r="L214" s="11" t="s">
        <v>35</v>
      </c>
      <c r="M214" s="11" t="s">
        <v>27</v>
      </c>
      <c r="N214" s="18">
        <v>45352</v>
      </c>
      <c r="O214" s="19">
        <v>3499.95</v>
      </c>
      <c r="P214" s="3">
        <f t="shared" ca="1" si="15"/>
        <v>116</v>
      </c>
      <c r="Q214" s="3" t="str">
        <f t="shared" si="16"/>
        <v>High Value</v>
      </c>
      <c r="R214" s="3">
        <f t="shared" si="17"/>
        <v>31</v>
      </c>
      <c r="T214" s="21" t="str">
        <f t="shared" si="19"/>
        <v>EM</v>
      </c>
    </row>
    <row r="215" spans="1:20" ht="31.5">
      <c r="A215" s="11" t="s">
        <v>360</v>
      </c>
      <c r="B215" s="18">
        <v>45707</v>
      </c>
      <c r="C215" s="18" t="str">
        <f t="shared" si="18"/>
        <v>February</v>
      </c>
      <c r="D215" s="11" t="s">
        <v>42</v>
      </c>
      <c r="E215" s="11" t="s">
        <v>43</v>
      </c>
      <c r="F215" s="11" t="s">
        <v>44</v>
      </c>
      <c r="G215" s="11" t="s">
        <v>45</v>
      </c>
      <c r="H215" s="11" t="s">
        <v>46</v>
      </c>
      <c r="I215" s="17">
        <v>3</v>
      </c>
      <c r="J215" s="17">
        <v>149.99</v>
      </c>
      <c r="K215" s="11" t="s">
        <v>34</v>
      </c>
      <c r="L215" s="11" t="s">
        <v>21</v>
      </c>
      <c r="M215" s="11" t="s">
        <v>36</v>
      </c>
      <c r="N215" s="18">
        <v>44633</v>
      </c>
      <c r="O215" s="19">
        <v>449.97</v>
      </c>
      <c r="P215" s="3">
        <f t="shared" ca="1" si="15"/>
        <v>125</v>
      </c>
      <c r="Q215" s="3" t="str">
        <f t="shared" si="16"/>
        <v>Normal</v>
      </c>
      <c r="R215" s="3">
        <f t="shared" si="17"/>
        <v>35</v>
      </c>
      <c r="T215" s="21" t="str">
        <f t="shared" si="19"/>
        <v>MB</v>
      </c>
    </row>
    <row r="216" spans="1:20">
      <c r="A216" s="11" t="s">
        <v>361</v>
      </c>
      <c r="B216" s="18">
        <v>45708</v>
      </c>
      <c r="C216" s="18" t="str">
        <f t="shared" si="18"/>
        <v>February</v>
      </c>
      <c r="D216" s="11" t="s">
        <v>96</v>
      </c>
      <c r="E216" s="11" t="s">
        <v>97</v>
      </c>
      <c r="F216" s="11" t="s">
        <v>61</v>
      </c>
      <c r="G216" s="11" t="s">
        <v>62</v>
      </c>
      <c r="H216" s="11" t="s">
        <v>19</v>
      </c>
      <c r="I216" s="17">
        <v>3</v>
      </c>
      <c r="J216" s="17">
        <v>899.99</v>
      </c>
      <c r="K216" s="11" t="s">
        <v>20</v>
      </c>
      <c r="L216" s="11" t="s">
        <v>63</v>
      </c>
      <c r="M216" s="11" t="s">
        <v>36</v>
      </c>
      <c r="N216" s="18">
        <v>44613</v>
      </c>
      <c r="O216" s="19">
        <v>2699.97</v>
      </c>
      <c r="P216" s="3">
        <f t="shared" ca="1" si="15"/>
        <v>118</v>
      </c>
      <c r="Q216" s="3" t="str">
        <f t="shared" si="16"/>
        <v>High Value</v>
      </c>
      <c r="R216" s="3">
        <f t="shared" si="17"/>
        <v>24</v>
      </c>
      <c r="T216" s="21" t="str">
        <f t="shared" si="19"/>
        <v>BY</v>
      </c>
    </row>
    <row r="217" spans="1:20">
      <c r="A217" s="11" t="s">
        <v>362</v>
      </c>
      <c r="B217" s="18">
        <v>45708</v>
      </c>
      <c r="C217" s="18" t="str">
        <f t="shared" si="18"/>
        <v>February</v>
      </c>
      <c r="D217" s="11" t="s">
        <v>192</v>
      </c>
      <c r="E217" s="11" t="s">
        <v>193</v>
      </c>
      <c r="F217" s="11" t="s">
        <v>126</v>
      </c>
      <c r="G217" s="11" t="s">
        <v>127</v>
      </c>
      <c r="H217" s="11" t="s">
        <v>46</v>
      </c>
      <c r="I217" s="17">
        <v>3</v>
      </c>
      <c r="J217" s="17">
        <v>199.99</v>
      </c>
      <c r="K217" s="11" t="s">
        <v>20</v>
      </c>
      <c r="L217" s="11" t="s">
        <v>50</v>
      </c>
      <c r="M217" s="11" t="s">
        <v>27</v>
      </c>
      <c r="N217" s="18">
        <v>44823</v>
      </c>
      <c r="O217" s="19">
        <v>599.97</v>
      </c>
      <c r="P217" s="3">
        <f t="shared" ca="1" si="15"/>
        <v>124</v>
      </c>
      <c r="Q217" s="3" t="str">
        <f t="shared" si="16"/>
        <v>Normal</v>
      </c>
      <c r="R217" s="3">
        <f t="shared" si="17"/>
        <v>15</v>
      </c>
      <c r="T217" s="21" t="str">
        <f t="shared" si="19"/>
        <v>FT</v>
      </c>
    </row>
    <row r="218" spans="1:20">
      <c r="A218" s="11" t="s">
        <v>363</v>
      </c>
      <c r="B218" s="18">
        <v>45710</v>
      </c>
      <c r="C218" s="18" t="str">
        <f t="shared" si="18"/>
        <v>February</v>
      </c>
      <c r="D218" s="11" t="s">
        <v>55</v>
      </c>
      <c r="E218" s="11" t="s">
        <v>56</v>
      </c>
      <c r="F218" s="11" t="s">
        <v>105</v>
      </c>
      <c r="G218" s="11" t="s">
        <v>106</v>
      </c>
      <c r="H218" s="11" t="s">
        <v>46</v>
      </c>
      <c r="I218" s="17">
        <v>5</v>
      </c>
      <c r="J218" s="17">
        <v>299.99</v>
      </c>
      <c r="K218" s="11" t="s">
        <v>20</v>
      </c>
      <c r="L218" s="11" t="s">
        <v>50</v>
      </c>
      <c r="M218" s="11" t="s">
        <v>36</v>
      </c>
      <c r="N218" s="18">
        <v>45142</v>
      </c>
      <c r="O218" s="19">
        <v>1499.95</v>
      </c>
      <c r="P218" s="3">
        <f t="shared" ca="1" si="15"/>
        <v>122</v>
      </c>
      <c r="Q218" s="3" t="str">
        <f t="shared" si="16"/>
        <v>Normal</v>
      </c>
      <c r="R218" s="3">
        <f t="shared" si="17"/>
        <v>26</v>
      </c>
      <c r="T218" s="21" t="str">
        <f t="shared" si="19"/>
        <v>CA</v>
      </c>
    </row>
    <row r="219" spans="1:20">
      <c r="A219" s="11" t="s">
        <v>364</v>
      </c>
      <c r="B219" s="18">
        <v>45710</v>
      </c>
      <c r="C219" s="18" t="str">
        <f t="shared" si="18"/>
        <v>February</v>
      </c>
      <c r="D219" s="11" t="s">
        <v>150</v>
      </c>
      <c r="E219" s="11" t="s">
        <v>151</v>
      </c>
      <c r="F219" s="11" t="s">
        <v>80</v>
      </c>
      <c r="G219" s="11" t="s">
        <v>81</v>
      </c>
      <c r="H219" s="11" t="s">
        <v>19</v>
      </c>
      <c r="I219" s="17">
        <v>1</v>
      </c>
      <c r="J219" s="17">
        <v>699.99</v>
      </c>
      <c r="K219" s="11" t="s">
        <v>34</v>
      </c>
      <c r="L219" s="11" t="s">
        <v>50</v>
      </c>
      <c r="M219" s="11" t="s">
        <v>22</v>
      </c>
      <c r="N219" s="18">
        <v>44934</v>
      </c>
      <c r="O219" s="19">
        <v>699.99</v>
      </c>
      <c r="P219" s="3">
        <f t="shared" ca="1" si="15"/>
        <v>124</v>
      </c>
      <c r="Q219" s="3" t="str">
        <f t="shared" si="16"/>
        <v>Normal</v>
      </c>
      <c r="R219" s="3">
        <f t="shared" si="17"/>
        <v>31</v>
      </c>
      <c r="T219" s="21" t="str">
        <f t="shared" si="19"/>
        <v>SB</v>
      </c>
    </row>
    <row r="220" spans="1:20">
      <c r="A220" s="11" t="s">
        <v>365</v>
      </c>
      <c r="B220" s="18">
        <v>45711</v>
      </c>
      <c r="C220" s="18" t="str">
        <f t="shared" si="18"/>
        <v>February</v>
      </c>
      <c r="D220" s="11" t="s">
        <v>246</v>
      </c>
      <c r="E220" s="11" t="s">
        <v>247</v>
      </c>
      <c r="F220" s="11" t="s">
        <v>80</v>
      </c>
      <c r="G220" s="11" t="s">
        <v>81</v>
      </c>
      <c r="H220" s="11" t="s">
        <v>19</v>
      </c>
      <c r="I220" s="17">
        <v>1</v>
      </c>
      <c r="J220" s="17">
        <v>699.99</v>
      </c>
      <c r="K220" s="11" t="s">
        <v>20</v>
      </c>
      <c r="L220" s="11" t="s">
        <v>40</v>
      </c>
      <c r="M220" s="11" t="s">
        <v>27</v>
      </c>
      <c r="N220" s="18">
        <v>44583</v>
      </c>
      <c r="O220" s="19">
        <v>699.99</v>
      </c>
      <c r="P220" s="3">
        <f t="shared" ca="1" si="15"/>
        <v>124</v>
      </c>
      <c r="Q220" s="3" t="str">
        <f t="shared" si="16"/>
        <v>Normal</v>
      </c>
      <c r="R220" s="3">
        <f t="shared" si="17"/>
        <v>31</v>
      </c>
      <c r="T220" s="21" t="str">
        <f t="shared" si="19"/>
        <v>RB</v>
      </c>
    </row>
    <row r="221" spans="1:20" ht="31.5">
      <c r="A221" s="11" t="s">
        <v>366</v>
      </c>
      <c r="B221" s="18">
        <v>45711</v>
      </c>
      <c r="C221" s="18" t="str">
        <f t="shared" si="18"/>
        <v>February</v>
      </c>
      <c r="D221" s="11" t="s">
        <v>325</v>
      </c>
      <c r="E221" s="11" t="s">
        <v>326</v>
      </c>
      <c r="F221" s="11" t="s">
        <v>44</v>
      </c>
      <c r="G221" s="11" t="s">
        <v>45</v>
      </c>
      <c r="H221" s="11" t="s">
        <v>46</v>
      </c>
      <c r="I221" s="17">
        <v>4</v>
      </c>
      <c r="J221" s="17">
        <v>149.99</v>
      </c>
      <c r="K221" s="11" t="s">
        <v>34</v>
      </c>
      <c r="L221" s="11" t="s">
        <v>40</v>
      </c>
      <c r="M221" s="11" t="s">
        <v>27</v>
      </c>
      <c r="N221" s="18">
        <v>44412</v>
      </c>
      <c r="O221" s="19">
        <v>599.96</v>
      </c>
      <c r="P221" s="3">
        <f t="shared" ca="1" si="15"/>
        <v>124</v>
      </c>
      <c r="Q221" s="3" t="str">
        <f t="shared" si="16"/>
        <v>Normal</v>
      </c>
      <c r="R221" s="3">
        <f t="shared" si="17"/>
        <v>35</v>
      </c>
      <c r="T221" s="21" t="str">
        <f t="shared" si="19"/>
        <v>AE</v>
      </c>
    </row>
    <row r="222" spans="1:20">
      <c r="A222" s="11" t="s">
        <v>367</v>
      </c>
      <c r="B222" s="18">
        <v>45711</v>
      </c>
      <c r="C222" s="18" t="str">
        <f t="shared" si="18"/>
        <v>February</v>
      </c>
      <c r="D222" s="11" t="s">
        <v>211</v>
      </c>
      <c r="E222" s="11" t="s">
        <v>212</v>
      </c>
      <c r="F222" s="11" t="s">
        <v>117</v>
      </c>
      <c r="G222" s="11" t="s">
        <v>118</v>
      </c>
      <c r="H222" s="11" t="s">
        <v>19</v>
      </c>
      <c r="I222" s="17">
        <v>5</v>
      </c>
      <c r="J222" s="17">
        <v>89.99</v>
      </c>
      <c r="K222" s="11" t="s">
        <v>34</v>
      </c>
      <c r="L222" s="11" t="s">
        <v>50</v>
      </c>
      <c r="M222" s="11" t="s">
        <v>27</v>
      </c>
      <c r="N222" s="18">
        <v>45140</v>
      </c>
      <c r="O222" s="19">
        <v>449.95</v>
      </c>
      <c r="P222" s="3">
        <f t="shared" ca="1" si="15"/>
        <v>125</v>
      </c>
      <c r="Q222" s="3" t="str">
        <f t="shared" si="16"/>
        <v>Normal</v>
      </c>
      <c r="R222" s="3">
        <f t="shared" si="17"/>
        <v>34</v>
      </c>
      <c r="T222" s="21" t="str">
        <f t="shared" si="19"/>
        <v>EH</v>
      </c>
    </row>
    <row r="223" spans="1:20">
      <c r="A223" s="11" t="s">
        <v>368</v>
      </c>
      <c r="B223" s="18">
        <v>45712</v>
      </c>
      <c r="C223" s="18" t="str">
        <f t="shared" si="18"/>
        <v>February</v>
      </c>
      <c r="D223" s="11" t="s">
        <v>138</v>
      </c>
      <c r="E223" s="11" t="s">
        <v>139</v>
      </c>
      <c r="F223" s="11" t="s">
        <v>126</v>
      </c>
      <c r="G223" s="11" t="s">
        <v>127</v>
      </c>
      <c r="H223" s="11" t="s">
        <v>46</v>
      </c>
      <c r="I223" s="17">
        <v>2</v>
      </c>
      <c r="J223" s="17">
        <v>199.99</v>
      </c>
      <c r="K223" s="11" t="s">
        <v>20</v>
      </c>
      <c r="L223" s="11" t="s">
        <v>21</v>
      </c>
      <c r="M223" s="11" t="s">
        <v>27</v>
      </c>
      <c r="N223" s="18">
        <v>44573</v>
      </c>
      <c r="O223" s="19">
        <v>399.98</v>
      </c>
      <c r="P223" s="3">
        <f t="shared" ca="1" si="15"/>
        <v>125</v>
      </c>
      <c r="Q223" s="3" t="str">
        <f t="shared" si="16"/>
        <v>Normal</v>
      </c>
      <c r="R223" s="3">
        <f t="shared" si="17"/>
        <v>15</v>
      </c>
      <c r="T223" s="21" t="str">
        <f t="shared" si="19"/>
        <v>ST</v>
      </c>
    </row>
    <row r="224" spans="1:20">
      <c r="A224" s="11" t="s">
        <v>369</v>
      </c>
      <c r="B224" s="18">
        <v>45715</v>
      </c>
      <c r="C224" s="18" t="str">
        <f t="shared" si="18"/>
        <v>February</v>
      </c>
      <c r="D224" s="11" t="s">
        <v>259</v>
      </c>
      <c r="E224" s="11" t="s">
        <v>260</v>
      </c>
      <c r="F224" s="11" t="s">
        <v>31</v>
      </c>
      <c r="G224" s="11" t="s">
        <v>32</v>
      </c>
      <c r="H224" s="11" t="s">
        <v>33</v>
      </c>
      <c r="I224" s="17">
        <v>4</v>
      </c>
      <c r="J224" s="17">
        <v>59.99</v>
      </c>
      <c r="K224" s="11" t="s">
        <v>20</v>
      </c>
      <c r="L224" s="11" t="s">
        <v>50</v>
      </c>
      <c r="M224" s="11" t="s">
        <v>36</v>
      </c>
      <c r="N224" s="18">
        <v>45070</v>
      </c>
      <c r="O224" s="19">
        <v>239.96</v>
      </c>
      <c r="P224" s="3">
        <f t="shared" ca="1" si="15"/>
        <v>125</v>
      </c>
      <c r="Q224" s="3" t="str">
        <f t="shared" si="16"/>
        <v>Normal</v>
      </c>
      <c r="R224" s="3">
        <f t="shared" si="17"/>
        <v>29</v>
      </c>
      <c r="T224" s="21" t="str">
        <f t="shared" si="19"/>
        <v>RL</v>
      </c>
    </row>
    <row r="225" spans="1:20" ht="31.5">
      <c r="A225" s="11" t="s">
        <v>370</v>
      </c>
      <c r="B225" s="18">
        <v>45715</v>
      </c>
      <c r="C225" s="18" t="str">
        <f t="shared" si="18"/>
        <v>February</v>
      </c>
      <c r="D225" s="11" t="s">
        <v>93</v>
      </c>
      <c r="E225" s="11" t="s">
        <v>94</v>
      </c>
      <c r="F225" s="11" t="s">
        <v>105</v>
      </c>
      <c r="G225" s="11" t="s">
        <v>106</v>
      </c>
      <c r="H225" s="11" t="s">
        <v>46</v>
      </c>
      <c r="I225" s="17">
        <v>2</v>
      </c>
      <c r="J225" s="17">
        <v>299.99</v>
      </c>
      <c r="K225" s="11" t="s">
        <v>34</v>
      </c>
      <c r="L225" s="11" t="s">
        <v>35</v>
      </c>
      <c r="M225" s="11" t="s">
        <v>22</v>
      </c>
      <c r="N225" s="18">
        <v>44576</v>
      </c>
      <c r="O225" s="19">
        <v>599.98</v>
      </c>
      <c r="P225" s="3">
        <f t="shared" ca="1" si="15"/>
        <v>124</v>
      </c>
      <c r="Q225" s="3" t="str">
        <f t="shared" si="16"/>
        <v>Normal</v>
      </c>
      <c r="R225" s="3">
        <f t="shared" si="17"/>
        <v>26</v>
      </c>
      <c r="T225" s="21" t="str">
        <f t="shared" si="19"/>
        <v>VS</v>
      </c>
    </row>
    <row r="226" spans="1:20">
      <c r="A226" s="11" t="s">
        <v>371</v>
      </c>
      <c r="B226" s="18">
        <v>45718</v>
      </c>
      <c r="C226" s="18" t="str">
        <f t="shared" si="18"/>
        <v>March</v>
      </c>
      <c r="D226" s="11" t="s">
        <v>55</v>
      </c>
      <c r="E226" s="11" t="s">
        <v>56</v>
      </c>
      <c r="F226" s="11" t="s">
        <v>44</v>
      </c>
      <c r="G226" s="11" t="s">
        <v>45</v>
      </c>
      <c r="H226" s="11" t="s">
        <v>46</v>
      </c>
      <c r="I226" s="17">
        <v>2</v>
      </c>
      <c r="J226" s="17">
        <v>149.99</v>
      </c>
      <c r="K226" s="11" t="s">
        <v>20</v>
      </c>
      <c r="L226" s="11" t="s">
        <v>21</v>
      </c>
      <c r="M226" s="11" t="s">
        <v>22</v>
      </c>
      <c r="N226" s="18">
        <v>45068</v>
      </c>
      <c r="O226" s="19">
        <v>299.98</v>
      </c>
      <c r="P226" s="3">
        <f t="shared" ca="1" si="15"/>
        <v>125</v>
      </c>
      <c r="Q226" s="3" t="str">
        <f t="shared" si="16"/>
        <v>Normal</v>
      </c>
      <c r="R226" s="3">
        <f t="shared" si="17"/>
        <v>35</v>
      </c>
      <c r="T226" s="21" t="str">
        <f t="shared" si="19"/>
        <v>CA</v>
      </c>
    </row>
    <row r="227" spans="1:20" ht="31.5">
      <c r="A227" s="11" t="s">
        <v>372</v>
      </c>
      <c r="B227" s="18">
        <v>45720</v>
      </c>
      <c r="C227" s="18" t="str">
        <f t="shared" si="18"/>
        <v>March</v>
      </c>
      <c r="D227" s="11" t="s">
        <v>226</v>
      </c>
      <c r="E227" s="11" t="s">
        <v>227</v>
      </c>
      <c r="F227" s="11" t="s">
        <v>80</v>
      </c>
      <c r="G227" s="11" t="s">
        <v>81</v>
      </c>
      <c r="H227" s="11" t="s">
        <v>19</v>
      </c>
      <c r="I227" s="17">
        <v>5</v>
      </c>
      <c r="J227" s="17">
        <v>699.99</v>
      </c>
      <c r="K227" s="11" t="s">
        <v>57</v>
      </c>
      <c r="L227" s="11" t="s">
        <v>63</v>
      </c>
      <c r="M227" s="11" t="s">
        <v>27</v>
      </c>
      <c r="N227" s="18">
        <v>45161</v>
      </c>
      <c r="O227" s="19">
        <v>3499.95</v>
      </c>
      <c r="P227" s="3">
        <f t="shared" ca="1" si="15"/>
        <v>116</v>
      </c>
      <c r="Q227" s="3" t="str">
        <f t="shared" si="16"/>
        <v>High Value</v>
      </c>
      <c r="R227" s="3">
        <f t="shared" si="17"/>
        <v>31</v>
      </c>
      <c r="T227" s="21" t="str">
        <f t="shared" si="19"/>
        <v>LR</v>
      </c>
    </row>
    <row r="228" spans="1:20">
      <c r="A228" s="11" t="s">
        <v>373</v>
      </c>
      <c r="B228" s="18">
        <v>45721</v>
      </c>
      <c r="C228" s="18" t="str">
        <f t="shared" si="18"/>
        <v>March</v>
      </c>
      <c r="D228" s="11" t="s">
        <v>75</v>
      </c>
      <c r="E228" s="11" t="s">
        <v>76</v>
      </c>
      <c r="F228" s="11" t="s">
        <v>31</v>
      </c>
      <c r="G228" s="11" t="s">
        <v>32</v>
      </c>
      <c r="H228" s="11" t="s">
        <v>33</v>
      </c>
      <c r="I228" s="17">
        <v>5</v>
      </c>
      <c r="J228" s="17">
        <v>59.99</v>
      </c>
      <c r="K228" s="11" t="s">
        <v>20</v>
      </c>
      <c r="L228" s="11" t="s">
        <v>50</v>
      </c>
      <c r="M228" s="11" t="s">
        <v>27</v>
      </c>
      <c r="N228" s="18">
        <v>45291</v>
      </c>
      <c r="O228" s="19">
        <v>299.95</v>
      </c>
      <c r="P228" s="3">
        <f t="shared" ca="1" si="15"/>
        <v>125</v>
      </c>
      <c r="Q228" s="3" t="str">
        <f t="shared" si="16"/>
        <v>Normal</v>
      </c>
      <c r="R228" s="3">
        <f t="shared" si="17"/>
        <v>29</v>
      </c>
      <c r="T228" s="21" t="str">
        <f t="shared" si="19"/>
        <v>DG</v>
      </c>
    </row>
    <row r="229" spans="1:20">
      <c r="A229" s="11" t="s">
        <v>374</v>
      </c>
      <c r="B229" s="18">
        <v>45723</v>
      </c>
      <c r="C229" s="18" t="str">
        <f t="shared" si="18"/>
        <v>March</v>
      </c>
      <c r="D229" s="11" t="s">
        <v>15</v>
      </c>
      <c r="E229" s="11" t="s">
        <v>16</v>
      </c>
      <c r="F229" s="11" t="s">
        <v>117</v>
      </c>
      <c r="G229" s="11" t="s">
        <v>118</v>
      </c>
      <c r="H229" s="11" t="s">
        <v>19</v>
      </c>
      <c r="I229" s="17">
        <v>2</v>
      </c>
      <c r="J229" s="17">
        <v>89.99</v>
      </c>
      <c r="K229" s="11" t="s">
        <v>26</v>
      </c>
      <c r="L229" s="11" t="s">
        <v>50</v>
      </c>
      <c r="M229" s="11" t="s">
        <v>27</v>
      </c>
      <c r="N229" s="18">
        <v>45295</v>
      </c>
      <c r="O229" s="19">
        <v>179.98</v>
      </c>
      <c r="P229" s="3">
        <f t="shared" ca="1" si="15"/>
        <v>125</v>
      </c>
      <c r="Q229" s="3" t="str">
        <f t="shared" si="16"/>
        <v>Normal</v>
      </c>
      <c r="R229" s="3">
        <f t="shared" si="17"/>
        <v>34</v>
      </c>
      <c r="T229" s="21" t="str">
        <f t="shared" si="19"/>
        <v>PB</v>
      </c>
    </row>
    <row r="230" spans="1:20">
      <c r="A230" s="11" t="s">
        <v>375</v>
      </c>
      <c r="B230" s="18">
        <v>45723</v>
      </c>
      <c r="C230" s="18" t="str">
        <f t="shared" si="18"/>
        <v>March</v>
      </c>
      <c r="D230" s="11" t="s">
        <v>120</v>
      </c>
      <c r="E230" s="11" t="s">
        <v>121</v>
      </c>
      <c r="F230" s="11" t="s">
        <v>17</v>
      </c>
      <c r="G230" s="11" t="s">
        <v>18</v>
      </c>
      <c r="H230" s="11" t="s">
        <v>19</v>
      </c>
      <c r="I230" s="17">
        <v>5</v>
      </c>
      <c r="J230" s="17">
        <v>249.99</v>
      </c>
      <c r="K230" s="11" t="s">
        <v>20</v>
      </c>
      <c r="L230" s="11" t="s">
        <v>63</v>
      </c>
      <c r="M230" s="11" t="s">
        <v>36</v>
      </c>
      <c r="N230" s="18">
        <v>44540</v>
      </c>
      <c r="O230" s="19">
        <v>1249.95</v>
      </c>
      <c r="P230" s="3">
        <f t="shared" ca="1" si="15"/>
        <v>122</v>
      </c>
      <c r="Q230" s="3" t="str">
        <f t="shared" si="16"/>
        <v>Normal</v>
      </c>
      <c r="R230" s="3">
        <f t="shared" si="17"/>
        <v>26</v>
      </c>
      <c r="T230" s="21" t="str">
        <f t="shared" si="19"/>
        <v>HR</v>
      </c>
    </row>
    <row r="231" spans="1:20" ht="31.5">
      <c r="A231" s="11" t="s">
        <v>376</v>
      </c>
      <c r="B231" s="18">
        <v>45724</v>
      </c>
      <c r="C231" s="18" t="str">
        <f t="shared" si="18"/>
        <v>March</v>
      </c>
      <c r="D231" s="11" t="s">
        <v>226</v>
      </c>
      <c r="E231" s="11" t="s">
        <v>227</v>
      </c>
      <c r="F231" s="11" t="s">
        <v>44</v>
      </c>
      <c r="G231" s="11" t="s">
        <v>45</v>
      </c>
      <c r="H231" s="11" t="s">
        <v>46</v>
      </c>
      <c r="I231" s="17">
        <v>2</v>
      </c>
      <c r="J231" s="17">
        <v>149.99</v>
      </c>
      <c r="K231" s="11" t="s">
        <v>34</v>
      </c>
      <c r="L231" s="11" t="s">
        <v>21</v>
      </c>
      <c r="M231" s="11" t="s">
        <v>27</v>
      </c>
      <c r="N231" s="18">
        <v>44632</v>
      </c>
      <c r="O231" s="19">
        <v>299.98</v>
      </c>
      <c r="P231" s="3">
        <f t="shared" ca="1" si="15"/>
        <v>125</v>
      </c>
      <c r="Q231" s="3" t="str">
        <f t="shared" si="16"/>
        <v>Normal</v>
      </c>
      <c r="R231" s="3">
        <f t="shared" si="17"/>
        <v>35</v>
      </c>
      <c r="T231" s="21" t="str">
        <f t="shared" si="19"/>
        <v>LR</v>
      </c>
    </row>
    <row r="232" spans="1:20">
      <c r="A232" s="11" t="s">
        <v>377</v>
      </c>
      <c r="B232" s="18">
        <v>45724</v>
      </c>
      <c r="C232" s="18" t="str">
        <f t="shared" si="18"/>
        <v>March</v>
      </c>
      <c r="D232" s="11" t="s">
        <v>144</v>
      </c>
      <c r="E232" s="11" t="s">
        <v>145</v>
      </c>
      <c r="F232" s="11" t="s">
        <v>61</v>
      </c>
      <c r="G232" s="11" t="s">
        <v>62</v>
      </c>
      <c r="H232" s="11" t="s">
        <v>19</v>
      </c>
      <c r="I232" s="17">
        <v>5</v>
      </c>
      <c r="J232" s="17">
        <v>899.99</v>
      </c>
      <c r="K232" s="11" t="s">
        <v>34</v>
      </c>
      <c r="L232" s="11" t="s">
        <v>63</v>
      </c>
      <c r="M232" s="11" t="s">
        <v>27</v>
      </c>
      <c r="N232" s="18">
        <v>45389</v>
      </c>
      <c r="O232" s="19">
        <v>4499.95</v>
      </c>
      <c r="P232" s="3">
        <f t="shared" ca="1" si="15"/>
        <v>114</v>
      </c>
      <c r="Q232" s="3" t="str">
        <f t="shared" si="16"/>
        <v>High Value</v>
      </c>
      <c r="R232" s="3">
        <f t="shared" si="17"/>
        <v>24</v>
      </c>
      <c r="T232" s="21" t="str">
        <f t="shared" si="19"/>
        <v>HM</v>
      </c>
    </row>
    <row r="233" spans="1:20">
      <c r="A233" s="11" t="s">
        <v>378</v>
      </c>
      <c r="B233" s="18">
        <v>45724</v>
      </c>
      <c r="C233" s="18" t="str">
        <f t="shared" si="18"/>
        <v>March</v>
      </c>
      <c r="D233" s="11" t="s">
        <v>55</v>
      </c>
      <c r="E233" s="11" t="s">
        <v>56</v>
      </c>
      <c r="F233" s="11" t="s">
        <v>44</v>
      </c>
      <c r="G233" s="11" t="s">
        <v>45</v>
      </c>
      <c r="H233" s="11" t="s">
        <v>46</v>
      </c>
      <c r="I233" s="17">
        <v>4</v>
      </c>
      <c r="J233" s="17">
        <v>149.99</v>
      </c>
      <c r="K233" s="11" t="s">
        <v>20</v>
      </c>
      <c r="L233" s="11" t="s">
        <v>21</v>
      </c>
      <c r="M233" s="11" t="s">
        <v>36</v>
      </c>
      <c r="N233" s="18">
        <v>45263</v>
      </c>
      <c r="O233" s="19">
        <v>599.96</v>
      </c>
      <c r="P233" s="3">
        <f t="shared" ca="1" si="15"/>
        <v>124</v>
      </c>
      <c r="Q233" s="3" t="str">
        <f t="shared" si="16"/>
        <v>Normal</v>
      </c>
      <c r="R233" s="3">
        <f t="shared" si="17"/>
        <v>35</v>
      </c>
      <c r="T233" s="21" t="str">
        <f t="shared" si="19"/>
        <v>CA</v>
      </c>
    </row>
    <row r="234" spans="1:20">
      <c r="A234" s="11" t="s">
        <v>379</v>
      </c>
      <c r="B234" s="18">
        <v>45726</v>
      </c>
      <c r="C234" s="18" t="str">
        <f t="shared" si="18"/>
        <v>March</v>
      </c>
      <c r="D234" s="11" t="s">
        <v>144</v>
      </c>
      <c r="E234" s="11" t="s">
        <v>145</v>
      </c>
      <c r="F234" s="11" t="s">
        <v>17</v>
      </c>
      <c r="G234" s="11" t="s">
        <v>18</v>
      </c>
      <c r="H234" s="11" t="s">
        <v>19</v>
      </c>
      <c r="I234" s="17">
        <v>1</v>
      </c>
      <c r="J234" s="17">
        <v>249.99</v>
      </c>
      <c r="K234" s="11" t="s">
        <v>20</v>
      </c>
      <c r="L234" s="11" t="s">
        <v>40</v>
      </c>
      <c r="M234" s="11" t="s">
        <v>36</v>
      </c>
      <c r="N234" s="18">
        <v>45117</v>
      </c>
      <c r="O234" s="19">
        <v>249.99</v>
      </c>
      <c r="P234" s="3">
        <f t="shared" ca="1" si="15"/>
        <v>125</v>
      </c>
      <c r="Q234" s="3" t="str">
        <f t="shared" si="16"/>
        <v>Normal</v>
      </c>
      <c r="R234" s="3">
        <f t="shared" si="17"/>
        <v>26</v>
      </c>
      <c r="T234" s="21" t="str">
        <f t="shared" si="19"/>
        <v>HM</v>
      </c>
    </row>
    <row r="235" spans="1:20">
      <c r="A235" s="11" t="s">
        <v>380</v>
      </c>
      <c r="B235" s="18">
        <v>45734</v>
      </c>
      <c r="C235" s="18" t="str">
        <f t="shared" si="18"/>
        <v>March</v>
      </c>
      <c r="D235" s="11" t="s">
        <v>192</v>
      </c>
      <c r="E235" s="11" t="s">
        <v>193</v>
      </c>
      <c r="F235" s="11" t="s">
        <v>31</v>
      </c>
      <c r="G235" s="11" t="s">
        <v>32</v>
      </c>
      <c r="H235" s="11" t="s">
        <v>33</v>
      </c>
      <c r="I235" s="17">
        <v>2</v>
      </c>
      <c r="J235" s="17">
        <v>59.99</v>
      </c>
      <c r="K235" s="11" t="s">
        <v>26</v>
      </c>
      <c r="L235" s="11" t="s">
        <v>50</v>
      </c>
      <c r="M235" s="11" t="s">
        <v>22</v>
      </c>
      <c r="N235" s="18">
        <v>45193</v>
      </c>
      <c r="O235" s="19">
        <v>119.98</v>
      </c>
      <c r="P235" s="3">
        <f t="shared" ca="1" si="15"/>
        <v>126</v>
      </c>
      <c r="Q235" s="3" t="str">
        <f t="shared" si="16"/>
        <v>Normal</v>
      </c>
      <c r="R235" s="3">
        <f t="shared" si="17"/>
        <v>29</v>
      </c>
      <c r="T235" s="21" t="str">
        <f t="shared" si="19"/>
        <v>FT</v>
      </c>
    </row>
    <row r="236" spans="1:20">
      <c r="A236" s="11" t="s">
        <v>381</v>
      </c>
      <c r="B236" s="18">
        <v>45737</v>
      </c>
      <c r="C236" s="18" t="str">
        <f t="shared" si="18"/>
        <v>March</v>
      </c>
      <c r="D236" s="11" t="s">
        <v>132</v>
      </c>
      <c r="E236" s="11" t="s">
        <v>133</v>
      </c>
      <c r="F236" s="11" t="s">
        <v>44</v>
      </c>
      <c r="G236" s="11" t="s">
        <v>45</v>
      </c>
      <c r="H236" s="11" t="s">
        <v>46</v>
      </c>
      <c r="I236" s="17">
        <v>2</v>
      </c>
      <c r="J236" s="17">
        <v>149.99</v>
      </c>
      <c r="K236" s="11" t="s">
        <v>20</v>
      </c>
      <c r="L236" s="11" t="s">
        <v>50</v>
      </c>
      <c r="M236" s="11" t="s">
        <v>27</v>
      </c>
      <c r="N236" s="18">
        <v>45233</v>
      </c>
      <c r="O236" s="19">
        <v>299.98</v>
      </c>
      <c r="P236" s="3">
        <f t="shared" ca="1" si="15"/>
        <v>125</v>
      </c>
      <c r="Q236" s="3" t="str">
        <f t="shared" si="16"/>
        <v>Normal</v>
      </c>
      <c r="R236" s="3">
        <f t="shared" si="17"/>
        <v>35</v>
      </c>
      <c r="T236" s="21" t="str">
        <f t="shared" si="19"/>
        <v>EW</v>
      </c>
    </row>
    <row r="237" spans="1:20">
      <c r="A237" s="11" t="s">
        <v>382</v>
      </c>
      <c r="B237" s="18">
        <v>45737</v>
      </c>
      <c r="C237" s="18" t="str">
        <f t="shared" si="18"/>
        <v>March</v>
      </c>
      <c r="D237" s="11" t="s">
        <v>150</v>
      </c>
      <c r="E237" s="11" t="s">
        <v>151</v>
      </c>
      <c r="F237" s="11" t="s">
        <v>61</v>
      </c>
      <c r="G237" s="11" t="s">
        <v>62</v>
      </c>
      <c r="H237" s="11" t="s">
        <v>19</v>
      </c>
      <c r="I237" s="17">
        <v>3</v>
      </c>
      <c r="J237" s="17">
        <v>899.99</v>
      </c>
      <c r="K237" s="11" t="s">
        <v>57</v>
      </c>
      <c r="L237" s="11" t="s">
        <v>40</v>
      </c>
      <c r="M237" s="11" t="s">
        <v>27</v>
      </c>
      <c r="N237" s="18">
        <v>44876</v>
      </c>
      <c r="O237" s="19">
        <v>2699.97</v>
      </c>
      <c r="P237" s="3">
        <f t="shared" ca="1" si="15"/>
        <v>118</v>
      </c>
      <c r="Q237" s="3" t="str">
        <f t="shared" si="16"/>
        <v>High Value</v>
      </c>
      <c r="R237" s="3">
        <f t="shared" si="17"/>
        <v>24</v>
      </c>
      <c r="T237" s="21" t="str">
        <f t="shared" si="19"/>
        <v>SB</v>
      </c>
    </row>
    <row r="238" spans="1:20" ht="31.5">
      <c r="A238" s="11" t="s">
        <v>383</v>
      </c>
      <c r="B238" s="18">
        <v>45737</v>
      </c>
      <c r="C238" s="18" t="str">
        <f t="shared" si="18"/>
        <v>March</v>
      </c>
      <c r="D238" s="11" t="s">
        <v>48</v>
      </c>
      <c r="E238" s="11" t="s">
        <v>49</v>
      </c>
      <c r="F238" s="11" t="s">
        <v>61</v>
      </c>
      <c r="G238" s="11" t="s">
        <v>62</v>
      </c>
      <c r="H238" s="11" t="s">
        <v>19</v>
      </c>
      <c r="I238" s="17">
        <v>3</v>
      </c>
      <c r="J238" s="17">
        <v>899.99</v>
      </c>
      <c r="K238" s="11" t="s">
        <v>34</v>
      </c>
      <c r="L238" s="11" t="s">
        <v>40</v>
      </c>
      <c r="M238" s="11" t="s">
        <v>22</v>
      </c>
      <c r="N238" s="18">
        <v>44975</v>
      </c>
      <c r="O238" s="19">
        <v>2699.97</v>
      </c>
      <c r="P238" s="3">
        <f t="shared" ca="1" si="15"/>
        <v>118</v>
      </c>
      <c r="Q238" s="3" t="str">
        <f t="shared" si="16"/>
        <v>High Value</v>
      </c>
      <c r="R238" s="3">
        <f t="shared" si="17"/>
        <v>24</v>
      </c>
      <c r="T238" s="21" t="str">
        <f t="shared" si="19"/>
        <v>DN</v>
      </c>
    </row>
    <row r="239" spans="1:20">
      <c r="A239" s="11" t="s">
        <v>384</v>
      </c>
      <c r="B239" s="18">
        <v>45739</v>
      </c>
      <c r="C239" s="18" t="str">
        <f t="shared" si="18"/>
        <v>March</v>
      </c>
      <c r="D239" s="11" t="s">
        <v>15</v>
      </c>
      <c r="E239" s="11" t="s">
        <v>16</v>
      </c>
      <c r="F239" s="11" t="s">
        <v>105</v>
      </c>
      <c r="G239" s="11" t="s">
        <v>106</v>
      </c>
      <c r="H239" s="11" t="s">
        <v>46</v>
      </c>
      <c r="I239" s="17">
        <v>3</v>
      </c>
      <c r="J239" s="17">
        <v>299.99</v>
      </c>
      <c r="K239" s="11" t="s">
        <v>26</v>
      </c>
      <c r="L239" s="11" t="s">
        <v>50</v>
      </c>
      <c r="M239" s="11" t="s">
        <v>27</v>
      </c>
      <c r="N239" s="18">
        <v>45234</v>
      </c>
      <c r="O239" s="19">
        <v>899.97</v>
      </c>
      <c r="P239" s="3">
        <f t="shared" ca="1" si="15"/>
        <v>123</v>
      </c>
      <c r="Q239" s="3" t="str">
        <f t="shared" si="16"/>
        <v>Normal</v>
      </c>
      <c r="R239" s="3">
        <f t="shared" si="17"/>
        <v>26</v>
      </c>
      <c r="T239" s="21" t="str">
        <f t="shared" si="19"/>
        <v>PB</v>
      </c>
    </row>
    <row r="240" spans="1:20">
      <c r="A240" s="11" t="s">
        <v>385</v>
      </c>
      <c r="B240" s="18">
        <v>45740</v>
      </c>
      <c r="C240" s="18" t="str">
        <f t="shared" si="18"/>
        <v>March</v>
      </c>
      <c r="D240" s="11" t="s">
        <v>386</v>
      </c>
      <c r="E240" s="11" t="s">
        <v>387</v>
      </c>
      <c r="F240" s="11" t="s">
        <v>44</v>
      </c>
      <c r="G240" s="11" t="s">
        <v>45</v>
      </c>
      <c r="H240" s="11" t="s">
        <v>46</v>
      </c>
      <c r="I240" s="17">
        <v>4</v>
      </c>
      <c r="J240" s="17">
        <v>149.99</v>
      </c>
      <c r="K240" s="11" t="s">
        <v>34</v>
      </c>
      <c r="L240" s="11" t="s">
        <v>50</v>
      </c>
      <c r="M240" s="11" t="s">
        <v>36</v>
      </c>
      <c r="N240" s="18">
        <v>44560</v>
      </c>
      <c r="O240" s="19">
        <v>599.96</v>
      </c>
      <c r="P240" s="3">
        <f t="shared" ca="1" si="15"/>
        <v>124</v>
      </c>
      <c r="Q240" s="3" t="str">
        <f t="shared" si="16"/>
        <v>Normal</v>
      </c>
      <c r="R240" s="3">
        <f t="shared" si="17"/>
        <v>35</v>
      </c>
      <c r="T240" s="21" t="str">
        <f t="shared" si="19"/>
        <v>JS</v>
      </c>
    </row>
    <row r="241" spans="1:20">
      <c r="A241" s="11" t="s">
        <v>388</v>
      </c>
      <c r="B241" s="18">
        <v>45743</v>
      </c>
      <c r="C241" s="18" t="str">
        <f t="shared" si="18"/>
        <v>March</v>
      </c>
      <c r="D241" s="11" t="s">
        <v>102</v>
      </c>
      <c r="E241" s="11" t="s">
        <v>103</v>
      </c>
      <c r="F241" s="11" t="s">
        <v>114</v>
      </c>
      <c r="G241" s="11" t="s">
        <v>115</v>
      </c>
      <c r="H241" s="11" t="s">
        <v>33</v>
      </c>
      <c r="I241" s="17">
        <v>4</v>
      </c>
      <c r="J241" s="17">
        <v>79.989999999999995</v>
      </c>
      <c r="K241" s="11" t="s">
        <v>26</v>
      </c>
      <c r="L241" s="11" t="s">
        <v>21</v>
      </c>
      <c r="M241" s="11" t="s">
        <v>22</v>
      </c>
      <c r="N241" s="18">
        <v>45288</v>
      </c>
      <c r="O241" s="19">
        <v>319.95999999999998</v>
      </c>
      <c r="P241" s="3">
        <f t="shared" ca="1" si="15"/>
        <v>125</v>
      </c>
      <c r="Q241" s="3" t="str">
        <f t="shared" si="16"/>
        <v>Normal</v>
      </c>
      <c r="R241" s="3">
        <f t="shared" si="17"/>
        <v>14</v>
      </c>
      <c r="T241" s="21" t="str">
        <f t="shared" si="19"/>
        <v>CP</v>
      </c>
    </row>
    <row r="242" spans="1:20" ht="31.5">
      <c r="A242" s="11" t="s">
        <v>389</v>
      </c>
      <c r="B242" s="18">
        <v>45745</v>
      </c>
      <c r="C242" s="18" t="str">
        <f t="shared" si="18"/>
        <v>March</v>
      </c>
      <c r="D242" s="11" t="s">
        <v>185</v>
      </c>
      <c r="E242" s="11" t="s">
        <v>186</v>
      </c>
      <c r="F242" s="11" t="s">
        <v>117</v>
      </c>
      <c r="G242" s="11" t="s">
        <v>118</v>
      </c>
      <c r="H242" s="11" t="s">
        <v>19</v>
      </c>
      <c r="I242" s="17">
        <v>5</v>
      </c>
      <c r="J242" s="17">
        <v>89.99</v>
      </c>
      <c r="K242" s="11" t="s">
        <v>34</v>
      </c>
      <c r="L242" s="11" t="s">
        <v>35</v>
      </c>
      <c r="M242" s="11" t="s">
        <v>22</v>
      </c>
      <c r="N242" s="18">
        <v>44704</v>
      </c>
      <c r="O242" s="19">
        <v>449.95</v>
      </c>
      <c r="P242" s="3">
        <f t="shared" ca="1" si="15"/>
        <v>125</v>
      </c>
      <c r="Q242" s="3" t="str">
        <f t="shared" si="16"/>
        <v>Normal</v>
      </c>
      <c r="R242" s="3">
        <f t="shared" si="17"/>
        <v>34</v>
      </c>
      <c r="T242" s="21" t="str">
        <f t="shared" si="19"/>
        <v>MW</v>
      </c>
    </row>
    <row r="243" spans="1:20" ht="31.5">
      <c r="A243" s="11" t="s">
        <v>390</v>
      </c>
      <c r="B243" s="18">
        <v>45746</v>
      </c>
      <c r="C243" s="18" t="str">
        <f t="shared" si="18"/>
        <v>March</v>
      </c>
      <c r="D243" s="11" t="s">
        <v>93</v>
      </c>
      <c r="E243" s="11" t="s">
        <v>94</v>
      </c>
      <c r="F243" s="11" t="s">
        <v>44</v>
      </c>
      <c r="G243" s="11" t="s">
        <v>45</v>
      </c>
      <c r="H243" s="11" t="s">
        <v>46</v>
      </c>
      <c r="I243" s="17">
        <v>3</v>
      </c>
      <c r="J243" s="17">
        <v>149.99</v>
      </c>
      <c r="K243" s="11" t="s">
        <v>34</v>
      </c>
      <c r="L243" s="11" t="s">
        <v>21</v>
      </c>
      <c r="M243" s="11" t="s">
        <v>36</v>
      </c>
      <c r="N243" s="18">
        <v>45171</v>
      </c>
      <c r="O243" s="19">
        <v>449.97</v>
      </c>
      <c r="P243" s="3">
        <f t="shared" ca="1" si="15"/>
        <v>125</v>
      </c>
      <c r="Q243" s="3" t="str">
        <f t="shared" si="16"/>
        <v>Normal</v>
      </c>
      <c r="R243" s="3">
        <f t="shared" si="17"/>
        <v>35</v>
      </c>
      <c r="T243" s="21" t="str">
        <f t="shared" si="19"/>
        <v>VS</v>
      </c>
    </row>
    <row r="244" spans="1:20">
      <c r="A244" s="11" t="s">
        <v>391</v>
      </c>
      <c r="B244" s="18">
        <v>45746</v>
      </c>
      <c r="C244" s="18" t="str">
        <f t="shared" si="18"/>
        <v>March</v>
      </c>
      <c r="D244" s="11" t="s">
        <v>65</v>
      </c>
      <c r="E244" s="11" t="s">
        <v>66</v>
      </c>
      <c r="F244" s="11" t="s">
        <v>117</v>
      </c>
      <c r="G244" s="11" t="s">
        <v>118</v>
      </c>
      <c r="H244" s="11" t="s">
        <v>19</v>
      </c>
      <c r="I244" s="17">
        <v>2</v>
      </c>
      <c r="J244" s="17">
        <v>89.99</v>
      </c>
      <c r="K244" s="11" t="s">
        <v>57</v>
      </c>
      <c r="L244" s="11" t="s">
        <v>50</v>
      </c>
      <c r="M244" s="11" t="s">
        <v>27</v>
      </c>
      <c r="N244" s="18">
        <v>44522</v>
      </c>
      <c r="O244" s="19">
        <v>179.98</v>
      </c>
      <c r="P244" s="3">
        <f t="shared" ca="1" si="15"/>
        <v>125</v>
      </c>
      <c r="Q244" s="3" t="str">
        <f t="shared" si="16"/>
        <v>Normal</v>
      </c>
      <c r="R244" s="3">
        <f t="shared" si="17"/>
        <v>34</v>
      </c>
      <c r="T244" s="21" t="str">
        <f t="shared" si="19"/>
        <v>KH</v>
      </c>
    </row>
    <row r="245" spans="1:20">
      <c r="A245" s="11" t="s">
        <v>392</v>
      </c>
      <c r="B245" s="18">
        <v>45748</v>
      </c>
      <c r="C245" s="18" t="str">
        <f t="shared" si="18"/>
        <v>April</v>
      </c>
      <c r="D245" s="11" t="s">
        <v>102</v>
      </c>
      <c r="E245" s="11" t="s">
        <v>103</v>
      </c>
      <c r="F245" s="11" t="s">
        <v>80</v>
      </c>
      <c r="G245" s="11" t="s">
        <v>81</v>
      </c>
      <c r="H245" s="11" t="s">
        <v>19</v>
      </c>
      <c r="I245" s="17">
        <v>2</v>
      </c>
      <c r="J245" s="17">
        <v>699.99</v>
      </c>
      <c r="K245" s="11" t="s">
        <v>34</v>
      </c>
      <c r="L245" s="11" t="s">
        <v>40</v>
      </c>
      <c r="M245" s="11" t="s">
        <v>36</v>
      </c>
      <c r="N245" s="18">
        <v>44618</v>
      </c>
      <c r="O245" s="19">
        <v>1399.98</v>
      </c>
      <c r="P245" s="3">
        <f t="shared" ca="1" si="15"/>
        <v>122</v>
      </c>
      <c r="Q245" s="3" t="str">
        <f t="shared" si="16"/>
        <v>Normal</v>
      </c>
      <c r="R245" s="3">
        <f t="shared" si="17"/>
        <v>31</v>
      </c>
      <c r="T245" s="21" t="str">
        <f t="shared" si="19"/>
        <v>CP</v>
      </c>
    </row>
    <row r="246" spans="1:20" ht="31.5">
      <c r="A246" s="11" t="s">
        <v>393</v>
      </c>
      <c r="B246" s="18">
        <v>45749</v>
      </c>
      <c r="C246" s="18" t="str">
        <f t="shared" si="18"/>
        <v>April</v>
      </c>
      <c r="D246" s="11" t="s">
        <v>123</v>
      </c>
      <c r="E246" s="11" t="s">
        <v>124</v>
      </c>
      <c r="F246" s="11" t="s">
        <v>61</v>
      </c>
      <c r="G246" s="11" t="s">
        <v>62</v>
      </c>
      <c r="H246" s="11" t="s">
        <v>19</v>
      </c>
      <c r="I246" s="17">
        <v>3</v>
      </c>
      <c r="J246" s="17">
        <v>899.99</v>
      </c>
      <c r="K246" s="11" t="s">
        <v>20</v>
      </c>
      <c r="L246" s="11" t="s">
        <v>21</v>
      </c>
      <c r="M246" s="11" t="s">
        <v>36</v>
      </c>
      <c r="N246" s="18">
        <v>44953</v>
      </c>
      <c r="O246" s="19">
        <v>2699.97</v>
      </c>
      <c r="P246" s="3">
        <f t="shared" ca="1" si="15"/>
        <v>118</v>
      </c>
      <c r="Q246" s="3" t="str">
        <f t="shared" si="16"/>
        <v>High Value</v>
      </c>
      <c r="R246" s="3">
        <f t="shared" si="17"/>
        <v>24</v>
      </c>
      <c r="T246" s="21" t="str">
        <f t="shared" si="19"/>
        <v>EM</v>
      </c>
    </row>
    <row r="247" spans="1:20" ht="31.5">
      <c r="A247" s="11" t="s">
        <v>394</v>
      </c>
      <c r="B247" s="18">
        <v>45755</v>
      </c>
      <c r="C247" s="18" t="str">
        <f t="shared" si="18"/>
        <v>April</v>
      </c>
      <c r="D247" s="11" t="s">
        <v>93</v>
      </c>
      <c r="E247" s="11" t="s">
        <v>94</v>
      </c>
      <c r="F247" s="11" t="s">
        <v>114</v>
      </c>
      <c r="G247" s="11" t="s">
        <v>115</v>
      </c>
      <c r="H247" s="11" t="s">
        <v>33</v>
      </c>
      <c r="I247" s="17">
        <v>3</v>
      </c>
      <c r="J247" s="17">
        <v>79.989999999999995</v>
      </c>
      <c r="K247" s="11" t="s">
        <v>26</v>
      </c>
      <c r="L247" s="11" t="s">
        <v>40</v>
      </c>
      <c r="M247" s="11" t="s">
        <v>22</v>
      </c>
      <c r="N247" s="18">
        <v>44511</v>
      </c>
      <c r="O247" s="19">
        <v>239.97</v>
      </c>
      <c r="P247" s="3">
        <f t="shared" ca="1" si="15"/>
        <v>125</v>
      </c>
      <c r="Q247" s="3" t="str">
        <f t="shared" si="16"/>
        <v>Normal</v>
      </c>
      <c r="R247" s="3">
        <f t="shared" si="17"/>
        <v>14</v>
      </c>
      <c r="T247" s="21" t="str">
        <f t="shared" si="19"/>
        <v>VS</v>
      </c>
    </row>
    <row r="248" spans="1:20" ht="31.5">
      <c r="A248" s="11" t="s">
        <v>395</v>
      </c>
      <c r="B248" s="18">
        <v>45756</v>
      </c>
      <c r="C248" s="18" t="str">
        <f t="shared" si="18"/>
        <v>April</v>
      </c>
      <c r="D248" s="11" t="s">
        <v>59</v>
      </c>
      <c r="E248" s="11" t="s">
        <v>60</v>
      </c>
      <c r="F248" s="11" t="s">
        <v>117</v>
      </c>
      <c r="G248" s="11" t="s">
        <v>118</v>
      </c>
      <c r="H248" s="11" t="s">
        <v>19</v>
      </c>
      <c r="I248" s="17">
        <v>1</v>
      </c>
      <c r="J248" s="17">
        <v>89.99</v>
      </c>
      <c r="K248" s="11" t="s">
        <v>57</v>
      </c>
      <c r="L248" s="11" t="s">
        <v>63</v>
      </c>
      <c r="M248" s="11" t="s">
        <v>22</v>
      </c>
      <c r="N248" s="18">
        <v>45346</v>
      </c>
      <c r="O248" s="19">
        <v>89.99</v>
      </c>
      <c r="P248" s="3">
        <f t="shared" ca="1" si="15"/>
        <v>126</v>
      </c>
      <c r="Q248" s="3" t="str">
        <f t="shared" si="16"/>
        <v>Normal</v>
      </c>
      <c r="R248" s="3">
        <f t="shared" si="17"/>
        <v>34</v>
      </c>
      <c r="T248" s="21" t="str">
        <f t="shared" si="19"/>
        <v>RT</v>
      </c>
    </row>
    <row r="249" spans="1:20" ht="31.5">
      <c r="A249" s="11" t="s">
        <v>396</v>
      </c>
      <c r="B249" s="18">
        <v>45758</v>
      </c>
      <c r="C249" s="18" t="str">
        <f t="shared" si="18"/>
        <v>April</v>
      </c>
      <c r="D249" s="11" t="s">
        <v>293</v>
      </c>
      <c r="E249" s="11" t="s">
        <v>294</v>
      </c>
      <c r="F249" s="11" t="s">
        <v>80</v>
      </c>
      <c r="G249" s="11" t="s">
        <v>81</v>
      </c>
      <c r="H249" s="11" t="s">
        <v>19</v>
      </c>
      <c r="I249" s="17">
        <v>3</v>
      </c>
      <c r="J249" s="17">
        <v>699.99</v>
      </c>
      <c r="K249" s="11" t="s">
        <v>34</v>
      </c>
      <c r="L249" s="11" t="s">
        <v>40</v>
      </c>
      <c r="M249" s="11" t="s">
        <v>22</v>
      </c>
      <c r="N249" s="18">
        <v>44909</v>
      </c>
      <c r="O249" s="19">
        <v>2099.9699999999998</v>
      </c>
      <c r="P249" s="3">
        <f t="shared" ca="1" si="15"/>
        <v>120</v>
      </c>
      <c r="Q249" s="3" t="str">
        <f t="shared" si="16"/>
        <v>High Value</v>
      </c>
      <c r="R249" s="3">
        <f t="shared" si="17"/>
        <v>31</v>
      </c>
      <c r="T249" s="21" t="str">
        <f t="shared" si="19"/>
        <v>DW</v>
      </c>
    </row>
    <row r="250" spans="1:20" ht="31.5">
      <c r="A250" s="11" t="s">
        <v>397</v>
      </c>
      <c r="B250" s="18">
        <v>45758</v>
      </c>
      <c r="C250" s="18" t="str">
        <f t="shared" si="18"/>
        <v>April</v>
      </c>
      <c r="D250" s="11" t="s">
        <v>226</v>
      </c>
      <c r="E250" s="11" t="s">
        <v>227</v>
      </c>
      <c r="F250" s="11" t="s">
        <v>117</v>
      </c>
      <c r="G250" s="11" t="s">
        <v>118</v>
      </c>
      <c r="H250" s="11" t="s">
        <v>19</v>
      </c>
      <c r="I250" s="17">
        <v>2</v>
      </c>
      <c r="J250" s="17">
        <v>89.99</v>
      </c>
      <c r="K250" s="11" t="s">
        <v>57</v>
      </c>
      <c r="L250" s="11" t="s">
        <v>63</v>
      </c>
      <c r="M250" s="11" t="s">
        <v>22</v>
      </c>
      <c r="N250" s="18">
        <v>45088</v>
      </c>
      <c r="O250" s="19">
        <v>179.98</v>
      </c>
      <c r="P250" s="3">
        <f t="shared" ca="1" si="15"/>
        <v>125</v>
      </c>
      <c r="Q250" s="3" t="str">
        <f t="shared" si="16"/>
        <v>Normal</v>
      </c>
      <c r="R250" s="3">
        <f t="shared" si="17"/>
        <v>34</v>
      </c>
      <c r="T250" s="21" t="str">
        <f t="shared" si="19"/>
        <v>LR</v>
      </c>
    </row>
    <row r="251" spans="1:20">
      <c r="A251" s="11" t="s">
        <v>398</v>
      </c>
      <c r="B251" s="18">
        <v>45758</v>
      </c>
      <c r="C251" s="18" t="str">
        <f t="shared" si="18"/>
        <v>April</v>
      </c>
      <c r="D251" s="11" t="s">
        <v>138</v>
      </c>
      <c r="E251" s="11" t="s">
        <v>139</v>
      </c>
      <c r="F251" s="11" t="s">
        <v>117</v>
      </c>
      <c r="G251" s="11" t="s">
        <v>118</v>
      </c>
      <c r="H251" s="11" t="s">
        <v>19</v>
      </c>
      <c r="I251" s="17">
        <v>3</v>
      </c>
      <c r="J251" s="17">
        <v>89.99</v>
      </c>
      <c r="K251" s="11" t="s">
        <v>57</v>
      </c>
      <c r="L251" s="11" t="s">
        <v>40</v>
      </c>
      <c r="M251" s="11" t="s">
        <v>27</v>
      </c>
      <c r="N251" s="18">
        <v>44878</v>
      </c>
      <c r="O251" s="19">
        <v>269.97000000000003</v>
      </c>
      <c r="P251" s="3">
        <f t="shared" ca="1" si="15"/>
        <v>125</v>
      </c>
      <c r="Q251" s="3" t="str">
        <f t="shared" si="16"/>
        <v>Normal</v>
      </c>
      <c r="R251" s="3">
        <f t="shared" si="17"/>
        <v>34</v>
      </c>
      <c r="T251" s="21" t="str">
        <f t="shared" si="19"/>
        <v>ST</v>
      </c>
    </row>
  </sheetData>
  <scenarios current="0" show="0">
    <scenario name="price increase 10%" locked="1" count="1" user="admin" comment="Created by admin on 11-03-2026_x000a_Modified by admin on 11-03-2026">
      <inputCells r="J2" val="274.98"/>
    </scenario>
    <scenario name="quantity increase" locked="1" count="1" user="admin" comment="Created by admin on 11-03-2026">
      <inputCells r="I2" val="5"/>
    </scenario>
  </scenarios>
  <conditionalFormatting sqref="O1:O1048576">
    <cfRule type="iconSet" priority="1">
      <iconSet iconSet="3Arrows">
        <cfvo type="percent" val="0"/>
        <cfvo type="percent" val="33"/>
        <cfvo type="percent" val="67"/>
      </iconSet>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67633E-A7E2-4693-B97D-D2F2A00D3DC1}">
  <dimension ref="A1:O168"/>
  <sheetViews>
    <sheetView workbookViewId="0">
      <selection activeCell="A136" sqref="A134:N168"/>
    </sheetView>
  </sheetViews>
  <sheetFormatPr defaultRowHeight="21"/>
  <sheetData>
    <row r="1" spans="1:15" ht="28.5">
      <c r="A1" s="29" t="s">
        <v>400</v>
      </c>
      <c r="B1" s="30"/>
      <c r="C1" s="30"/>
      <c r="D1" s="30"/>
      <c r="E1" s="30"/>
      <c r="F1" s="30"/>
    </row>
    <row r="2" spans="1:15">
      <c r="A2" s="3" t="str" cm="1">
        <f t="array" ref="A2:O132">_xlfn._xlws.FILTER('RAW DATA'!A2:O500,'RAW DATA'!H2:H500="Electronics")</f>
        <v>TRX0155</v>
      </c>
      <c r="B2" s="3">
        <v>45393</v>
      </c>
      <c r="C2" s="3" t="str">
        <v>April</v>
      </c>
      <c r="D2" s="3" t="str">
        <v>CUST023</v>
      </c>
      <c r="E2" s="3" t="str">
        <v>Paul Baker</v>
      </c>
      <c r="F2" s="3" t="str">
        <v>P009</v>
      </c>
      <c r="G2" s="3" t="str">
        <v>Monitor</v>
      </c>
      <c r="H2" s="3" t="str">
        <v>Electronics</v>
      </c>
      <c r="I2" s="3">
        <v>5</v>
      </c>
      <c r="J2" s="3">
        <v>274.98</v>
      </c>
      <c r="K2" s="3" t="str">
        <v>Cash</v>
      </c>
      <c r="L2" s="3" t="str">
        <v>Central</v>
      </c>
      <c r="M2" s="3" t="str">
        <v>Basic</v>
      </c>
      <c r="N2" s="3">
        <v>44425</v>
      </c>
      <c r="O2">
        <v>749.97</v>
      </c>
    </row>
    <row r="3" spans="1:15">
      <c r="A3" s="3" t="str">
        <v>TRX0023</v>
      </c>
      <c r="B3" s="3">
        <v>45396</v>
      </c>
      <c r="C3" s="3" t="str">
        <v>April</v>
      </c>
      <c r="D3" s="3" t="str">
        <v>CUST013</v>
      </c>
      <c r="E3" s="3" t="str">
        <v>Joseph Jackson</v>
      </c>
      <c r="F3" s="3" t="str">
        <v>P009</v>
      </c>
      <c r="G3" s="3" t="str">
        <v>Monitor</v>
      </c>
      <c r="H3" s="3" t="str">
        <v>Electronics</v>
      </c>
      <c r="I3" s="3">
        <v>0</v>
      </c>
      <c r="J3" s="3">
        <v>249.99</v>
      </c>
      <c r="K3" s="3" t="str">
        <v>Credit Card</v>
      </c>
      <c r="L3" s="3" t="str">
        <v>Central</v>
      </c>
      <c r="M3" s="3" t="str">
        <v>Premium</v>
      </c>
      <c r="N3" s="3">
        <v>44575</v>
      </c>
      <c r="O3">
        <v>749.97</v>
      </c>
    </row>
    <row r="4" spans="1:15">
      <c r="A4" s="3" t="str">
        <v>TRX0193</v>
      </c>
      <c r="B4" s="3">
        <v>45403</v>
      </c>
      <c r="C4" s="3" t="str">
        <v>April</v>
      </c>
      <c r="D4" s="3" t="str">
        <v>CUST024</v>
      </c>
      <c r="E4" s="3" t="str">
        <v>Dorothy Nelson</v>
      </c>
      <c r="F4" s="3" t="str">
        <v>P003</v>
      </c>
      <c r="G4" s="3" t="str">
        <v>Headphones</v>
      </c>
      <c r="H4" s="3" t="str">
        <v>Electronics</v>
      </c>
      <c r="I4" s="3">
        <v>0</v>
      </c>
      <c r="J4" s="3">
        <v>149.99</v>
      </c>
      <c r="K4" s="3" t="str">
        <v>Credit Card</v>
      </c>
      <c r="L4" s="3" t="str">
        <v>Central</v>
      </c>
      <c r="M4" s="3" t="str">
        <v>Standard</v>
      </c>
      <c r="N4" s="3">
        <v>44418</v>
      </c>
      <c r="O4">
        <v>749.95</v>
      </c>
    </row>
    <row r="5" spans="1:15">
      <c r="A5" s="3" t="str">
        <v>TRX0135</v>
      </c>
      <c r="B5" s="3">
        <v>45405</v>
      </c>
      <c r="C5" s="3" t="str">
        <v>April</v>
      </c>
      <c r="D5" s="3" t="str">
        <v>CUST009</v>
      </c>
      <c r="E5" s="3" t="str">
        <v>Robert Thomas</v>
      </c>
      <c r="F5" s="3" t="str">
        <v>P001</v>
      </c>
      <c r="G5" s="3" t="str">
        <v>Laptop</v>
      </c>
      <c r="H5" s="3" t="str">
        <v>Electronics</v>
      </c>
      <c r="I5" s="3">
        <v>3</v>
      </c>
      <c r="J5" s="3">
        <v>899.99</v>
      </c>
      <c r="K5" s="3" t="str">
        <v>PayPal</v>
      </c>
      <c r="L5" s="3" t="str">
        <v>East</v>
      </c>
      <c r="M5" s="3" t="str">
        <v>Standard</v>
      </c>
      <c r="N5" s="3">
        <v>45299</v>
      </c>
      <c r="O5">
        <v>2699.97</v>
      </c>
    </row>
    <row r="6" spans="1:15">
      <c r="A6" s="3" t="str">
        <v>TRX0191</v>
      </c>
      <c r="B6" s="3">
        <v>45409</v>
      </c>
      <c r="C6" s="3" t="str">
        <v>April</v>
      </c>
      <c r="D6" s="3" t="str">
        <v>CUST038</v>
      </c>
      <c r="E6" s="3" t="str">
        <v>Michelle Rogers</v>
      </c>
      <c r="F6" s="3" t="str">
        <v>P002</v>
      </c>
      <c r="G6" s="3" t="str">
        <v>Smartphone</v>
      </c>
      <c r="H6" s="3" t="str">
        <v>Electronics</v>
      </c>
      <c r="I6" s="3">
        <v>3</v>
      </c>
      <c r="J6" s="3">
        <v>699.99</v>
      </c>
      <c r="K6" s="3" t="str">
        <v>Credit Card</v>
      </c>
      <c r="L6" s="3" t="str">
        <v>West</v>
      </c>
      <c r="M6" s="3" t="str">
        <v>Basic</v>
      </c>
      <c r="N6" s="3">
        <v>44577</v>
      </c>
      <c r="O6">
        <v>2099.9699999999998</v>
      </c>
    </row>
    <row r="7" spans="1:15">
      <c r="A7" s="3" t="str">
        <v>TRX0230</v>
      </c>
      <c r="B7" s="3">
        <v>45409</v>
      </c>
      <c r="C7" s="3" t="str">
        <v>April</v>
      </c>
      <c r="D7" s="3" t="str">
        <v>CUST027</v>
      </c>
      <c r="E7" s="3" t="str">
        <v>George Adams</v>
      </c>
      <c r="F7" s="3" t="str">
        <v>P001</v>
      </c>
      <c r="G7" s="3" t="str">
        <v>Laptop</v>
      </c>
      <c r="H7" s="3" t="str">
        <v>Electronics</v>
      </c>
      <c r="I7" s="3">
        <v>1</v>
      </c>
      <c r="J7" s="3">
        <v>899.99</v>
      </c>
      <c r="K7" s="3" t="str">
        <v>Debit Card</v>
      </c>
      <c r="L7" s="3" t="str">
        <v>North</v>
      </c>
      <c r="M7" s="3" t="str">
        <v>Standard</v>
      </c>
      <c r="N7" s="3">
        <v>44920</v>
      </c>
      <c r="O7">
        <v>899.99</v>
      </c>
    </row>
    <row r="8" spans="1:15">
      <c r="A8" s="3" t="str">
        <v>TRX0134</v>
      </c>
      <c r="B8" s="3">
        <v>45410</v>
      </c>
      <c r="C8" s="3" t="str">
        <v>April</v>
      </c>
      <c r="D8" s="3" t="str">
        <v>CUST010</v>
      </c>
      <c r="E8" s="3" t="str">
        <v>Maria Garcia</v>
      </c>
      <c r="F8" s="3" t="str">
        <v>P002</v>
      </c>
      <c r="G8" s="3" t="str">
        <v>Smartphone</v>
      </c>
      <c r="H8" s="3" t="str">
        <v>Electronics</v>
      </c>
      <c r="I8" s="3">
        <v>2</v>
      </c>
      <c r="J8" s="3">
        <v>699.99</v>
      </c>
      <c r="K8" s="3" t="str">
        <v>Cash</v>
      </c>
      <c r="L8" s="3" t="str">
        <v>North</v>
      </c>
      <c r="M8" s="3" t="str">
        <v>Basic</v>
      </c>
      <c r="N8" s="3">
        <v>44781</v>
      </c>
      <c r="O8">
        <v>1399.98</v>
      </c>
    </row>
    <row r="9" spans="1:15">
      <c r="A9" s="3" t="str">
        <v>TRX0122</v>
      </c>
      <c r="B9" s="3">
        <v>45410</v>
      </c>
      <c r="C9" s="3" t="str">
        <v>April</v>
      </c>
      <c r="D9" s="3" t="str">
        <v>CUST025</v>
      </c>
      <c r="E9" s="3" t="str">
        <v>Mark Carter</v>
      </c>
      <c r="F9" s="3" t="str">
        <v>P001</v>
      </c>
      <c r="G9" s="3" t="str">
        <v>Laptop</v>
      </c>
      <c r="H9" s="3" t="str">
        <v>Electronics</v>
      </c>
      <c r="I9" s="3">
        <v>4</v>
      </c>
      <c r="J9" s="3">
        <v>899.99</v>
      </c>
      <c r="K9" s="3" t="str">
        <v>Credit Card</v>
      </c>
      <c r="L9" s="3" t="str">
        <v>West</v>
      </c>
      <c r="M9" s="3" t="str">
        <v>Standard</v>
      </c>
      <c r="N9" s="3">
        <v>45327</v>
      </c>
      <c r="O9">
        <v>3599.96</v>
      </c>
    </row>
    <row r="10" spans="1:15">
      <c r="A10" s="3" t="str">
        <v>TRX0222</v>
      </c>
      <c r="B10" s="3">
        <v>45410</v>
      </c>
      <c r="C10" s="3" t="str">
        <v>April</v>
      </c>
      <c r="D10" s="3" t="str">
        <v>CUST048</v>
      </c>
      <c r="E10" s="3" t="str">
        <v>Virginia Sanders</v>
      </c>
      <c r="F10" s="3" t="str">
        <v>P009</v>
      </c>
      <c r="G10" s="3" t="str">
        <v>Monitor</v>
      </c>
      <c r="H10" s="3" t="str">
        <v>Electronics</v>
      </c>
      <c r="I10" s="3">
        <v>3</v>
      </c>
      <c r="J10" s="3">
        <v>249.99</v>
      </c>
      <c r="K10" s="3" t="str">
        <v>Credit Card</v>
      </c>
      <c r="L10" s="3" t="str">
        <v>North</v>
      </c>
      <c r="M10" s="3" t="str">
        <v>Premium</v>
      </c>
      <c r="N10" s="3">
        <v>45224</v>
      </c>
      <c r="O10">
        <v>749.97</v>
      </c>
    </row>
    <row r="11" spans="1:15">
      <c r="A11" s="3" t="str">
        <v>TRX0231</v>
      </c>
      <c r="B11" s="3">
        <v>45412</v>
      </c>
      <c r="C11" s="3" t="str">
        <v>April</v>
      </c>
      <c r="D11" s="3" t="str">
        <v>CUST018</v>
      </c>
      <c r="E11" s="3" t="str">
        <v>Barbara Young</v>
      </c>
      <c r="F11" s="3" t="str">
        <v>P002</v>
      </c>
      <c r="G11" s="3" t="str">
        <v>Smartphone</v>
      </c>
      <c r="H11" s="3" t="str">
        <v>Electronics</v>
      </c>
      <c r="I11" s="3">
        <v>5</v>
      </c>
      <c r="J11" s="3">
        <v>699.99</v>
      </c>
      <c r="K11" s="3" t="str">
        <v>Cash</v>
      </c>
      <c r="L11" s="3" t="str">
        <v>West</v>
      </c>
      <c r="M11" s="3" t="str">
        <v>Basic</v>
      </c>
      <c r="N11" s="3">
        <v>45167</v>
      </c>
      <c r="O11">
        <v>3499.95</v>
      </c>
    </row>
    <row r="12" spans="1:15">
      <c r="A12" s="3" t="str">
        <v>TRX0239</v>
      </c>
      <c r="B12" s="3">
        <v>45413</v>
      </c>
      <c r="C12" s="3" t="str">
        <v>May</v>
      </c>
      <c r="D12" s="3" t="str">
        <v>CUST012</v>
      </c>
      <c r="E12" s="3" t="str">
        <v>Patricia Moore</v>
      </c>
      <c r="F12" s="3" t="str">
        <v>P002</v>
      </c>
      <c r="G12" s="3" t="str">
        <v>Smartphone</v>
      </c>
      <c r="H12" s="3" t="str">
        <v>Electronics</v>
      </c>
      <c r="I12" s="3">
        <v>4</v>
      </c>
      <c r="J12" s="3">
        <v>699.99</v>
      </c>
      <c r="K12" s="3" t="str">
        <v>Cash</v>
      </c>
      <c r="L12" s="3" t="str">
        <v>East</v>
      </c>
      <c r="M12" s="3" t="str">
        <v>Standard</v>
      </c>
      <c r="N12" s="3">
        <v>44409</v>
      </c>
      <c r="O12">
        <v>2799.96</v>
      </c>
    </row>
    <row r="13" spans="1:15">
      <c r="A13" s="3" t="str">
        <v>TRX0204</v>
      </c>
      <c r="B13" s="3">
        <v>45415</v>
      </c>
      <c r="C13" s="3" t="str">
        <v>May</v>
      </c>
      <c r="D13" s="3" t="str">
        <v>CUST044</v>
      </c>
      <c r="E13" s="3" t="str">
        <v>Cynthia Price</v>
      </c>
      <c r="F13" s="3" t="str">
        <v>P009</v>
      </c>
      <c r="G13" s="3" t="str">
        <v>Monitor</v>
      </c>
      <c r="H13" s="3" t="str">
        <v>Electronics</v>
      </c>
      <c r="I13" s="3">
        <v>4</v>
      </c>
      <c r="J13" s="3">
        <v>249.99</v>
      </c>
      <c r="K13" s="3" t="str">
        <v>PayPal</v>
      </c>
      <c r="L13" s="3" t="str">
        <v>North</v>
      </c>
      <c r="M13" s="3" t="str">
        <v>Standard</v>
      </c>
      <c r="N13" s="3">
        <v>44468</v>
      </c>
      <c r="O13">
        <v>999.96</v>
      </c>
    </row>
    <row r="14" spans="1:15">
      <c r="A14" s="3" t="str">
        <v>TRX0071</v>
      </c>
      <c r="B14" s="3">
        <v>45422</v>
      </c>
      <c r="C14" s="3" t="str">
        <v>May</v>
      </c>
      <c r="D14" s="3" t="str">
        <v>CUST036</v>
      </c>
      <c r="E14" s="3" t="str">
        <v>Nancy Collins</v>
      </c>
      <c r="F14" s="3" t="str">
        <v>P009</v>
      </c>
      <c r="G14" s="3" t="str">
        <v>Monitor</v>
      </c>
      <c r="H14" s="3" t="str">
        <v>Electronics</v>
      </c>
      <c r="I14" s="3">
        <v>0</v>
      </c>
      <c r="J14" s="3">
        <v>249.99</v>
      </c>
      <c r="K14" s="3" t="str">
        <v>Credit Card</v>
      </c>
      <c r="L14" s="3" t="str">
        <v>West</v>
      </c>
      <c r="M14" s="3" t="str">
        <v>Standard</v>
      </c>
      <c r="N14" s="3">
        <v>44525</v>
      </c>
      <c r="O14">
        <v>1249.95</v>
      </c>
    </row>
    <row r="15" spans="1:15">
      <c r="A15" s="3" t="str">
        <v>TRX0004</v>
      </c>
      <c r="B15" s="3">
        <v>45424</v>
      </c>
      <c r="C15" s="3" t="str">
        <v>May</v>
      </c>
      <c r="D15" s="3" t="str">
        <v>CUST012</v>
      </c>
      <c r="E15" s="3" t="str">
        <v>Patricia Moore</v>
      </c>
      <c r="F15" s="3" t="str">
        <v>P010</v>
      </c>
      <c r="G15" s="3" t="str">
        <v>Keyboard</v>
      </c>
      <c r="H15" s="3" t="str">
        <v>Electronics</v>
      </c>
      <c r="I15" s="3">
        <v>5</v>
      </c>
      <c r="J15" s="3">
        <v>89.99</v>
      </c>
      <c r="K15" s="3" t="str">
        <v>Cash</v>
      </c>
      <c r="L15" s="3" t="str">
        <v>North</v>
      </c>
      <c r="M15" s="3" t="str">
        <v>Premium</v>
      </c>
      <c r="N15" s="3">
        <v>44919</v>
      </c>
      <c r="O15">
        <v>449.95</v>
      </c>
    </row>
    <row r="16" spans="1:15">
      <c r="A16" s="3" t="str">
        <v>TRX0041</v>
      </c>
      <c r="B16" s="3">
        <v>45432</v>
      </c>
      <c r="C16" s="3" t="str">
        <v>May</v>
      </c>
      <c r="D16" s="3" t="str">
        <v>CUST021</v>
      </c>
      <c r="E16" s="3" t="str">
        <v>Kevin Scott</v>
      </c>
      <c r="F16" s="3" t="str">
        <v>P001</v>
      </c>
      <c r="G16" s="3" t="str">
        <v>Laptop</v>
      </c>
      <c r="H16" s="3" t="str">
        <v>Electronics</v>
      </c>
      <c r="I16" s="3">
        <v>1</v>
      </c>
      <c r="J16" s="3">
        <v>899.99</v>
      </c>
      <c r="K16" s="3" t="str">
        <v>Credit Card</v>
      </c>
      <c r="L16" s="3" t="str">
        <v>West</v>
      </c>
      <c r="M16" s="3" t="str">
        <v>Premium</v>
      </c>
      <c r="N16" s="3">
        <v>44578</v>
      </c>
      <c r="O16">
        <v>899.99</v>
      </c>
    </row>
    <row r="17" spans="1:15">
      <c r="A17" s="3" t="str">
        <v>TRX0015</v>
      </c>
      <c r="B17" s="3">
        <v>45440</v>
      </c>
      <c r="C17" s="3" t="str">
        <v>May</v>
      </c>
      <c r="D17" s="3" t="str">
        <v>CUST008</v>
      </c>
      <c r="E17" s="3" t="str">
        <v>Jennifer Taylor</v>
      </c>
      <c r="F17" s="3" t="str">
        <v>P002</v>
      </c>
      <c r="G17" s="3" t="str">
        <v>Smartphone</v>
      </c>
      <c r="H17" s="3" t="str">
        <v>Electronics</v>
      </c>
      <c r="I17" s="3">
        <v>0</v>
      </c>
      <c r="J17" s="3">
        <v>699.99</v>
      </c>
      <c r="K17" s="3" t="str">
        <v>PayPal</v>
      </c>
      <c r="L17" s="3" t="str">
        <v>West</v>
      </c>
      <c r="M17" s="3" t="str">
        <v>Standard</v>
      </c>
      <c r="N17" s="3">
        <v>44407</v>
      </c>
      <c r="O17">
        <v>3499.95</v>
      </c>
    </row>
    <row r="18" spans="1:15">
      <c r="A18" s="3" t="str">
        <v>TRX0202</v>
      </c>
      <c r="B18" s="3">
        <v>45441</v>
      </c>
      <c r="C18" s="3" t="str">
        <v>May</v>
      </c>
      <c r="D18" s="3" t="str">
        <v>CUST035</v>
      </c>
      <c r="E18" s="3" t="str">
        <v>Harry Morgan</v>
      </c>
      <c r="F18" s="3" t="str">
        <v>P010</v>
      </c>
      <c r="G18" s="3" t="str">
        <v>Keyboard</v>
      </c>
      <c r="H18" s="3" t="str">
        <v>Electronics</v>
      </c>
      <c r="I18" s="3">
        <v>3</v>
      </c>
      <c r="J18" s="3">
        <v>89.99</v>
      </c>
      <c r="K18" s="3" t="str">
        <v>PayPal</v>
      </c>
      <c r="L18" s="3" t="str">
        <v>Central</v>
      </c>
      <c r="M18" s="3" t="str">
        <v>Premium</v>
      </c>
      <c r="N18" s="3">
        <v>45120</v>
      </c>
      <c r="O18">
        <v>269.97000000000003</v>
      </c>
    </row>
    <row r="19" spans="1:15">
      <c r="A19" s="3" t="str">
        <v>TRX0117</v>
      </c>
      <c r="B19" s="3">
        <v>45444</v>
      </c>
      <c r="C19" s="3" t="str">
        <v>June</v>
      </c>
      <c r="D19" s="3" t="str">
        <v>CUST017</v>
      </c>
      <c r="E19" s="3" t="str">
        <v>Charles Allen</v>
      </c>
      <c r="F19" s="3" t="str">
        <v>P010</v>
      </c>
      <c r="G19" s="3" t="str">
        <v>Keyboard</v>
      </c>
      <c r="H19" s="3" t="str">
        <v>Electronics</v>
      </c>
      <c r="I19" s="3">
        <v>1</v>
      </c>
      <c r="J19" s="3">
        <v>89.99</v>
      </c>
      <c r="K19" s="3" t="str">
        <v>Cash</v>
      </c>
      <c r="L19" s="3" t="str">
        <v>North</v>
      </c>
      <c r="M19" s="3" t="str">
        <v>Basic</v>
      </c>
      <c r="N19" s="3">
        <v>45141</v>
      </c>
      <c r="O19">
        <v>89.99</v>
      </c>
    </row>
    <row r="20" spans="1:15">
      <c r="A20" s="3" t="str">
        <v>TRX0208</v>
      </c>
      <c r="B20" s="3">
        <v>45446</v>
      </c>
      <c r="C20" s="3" t="str">
        <v>June</v>
      </c>
      <c r="D20" s="3" t="str">
        <v>CUST004</v>
      </c>
      <c r="E20" s="3" t="str">
        <v>Sarah Davis</v>
      </c>
      <c r="F20" s="3" t="str">
        <v>P010</v>
      </c>
      <c r="G20" s="3" t="str">
        <v>Keyboard</v>
      </c>
      <c r="H20" s="3" t="str">
        <v>Electronics</v>
      </c>
      <c r="I20" s="3">
        <v>5</v>
      </c>
      <c r="J20" s="3">
        <v>89.99</v>
      </c>
      <c r="K20" s="3" t="str">
        <v>Credit Card</v>
      </c>
      <c r="L20" s="3" t="str">
        <v>East</v>
      </c>
      <c r="M20" s="3" t="str">
        <v>Standard</v>
      </c>
      <c r="N20" s="3">
        <v>44587</v>
      </c>
      <c r="O20">
        <v>449.95</v>
      </c>
    </row>
    <row r="21" spans="1:15">
      <c r="A21" s="3" t="str">
        <v>TRX0234</v>
      </c>
      <c r="B21" s="3">
        <v>45449</v>
      </c>
      <c r="C21" s="3" t="str">
        <v>June</v>
      </c>
      <c r="D21" s="3" t="str">
        <v>CUST013</v>
      </c>
      <c r="E21" s="3" t="str">
        <v>Joseph Jackson</v>
      </c>
      <c r="F21" s="3" t="str">
        <v>P009</v>
      </c>
      <c r="G21" s="3" t="str">
        <v>Monitor</v>
      </c>
      <c r="H21" s="3" t="str">
        <v>Electronics</v>
      </c>
      <c r="I21" s="3">
        <v>5</v>
      </c>
      <c r="J21" s="3">
        <v>249.99</v>
      </c>
      <c r="K21" s="3" t="str">
        <v>Credit Card</v>
      </c>
      <c r="L21" s="3" t="str">
        <v>East</v>
      </c>
      <c r="M21" s="3" t="str">
        <v>Standard</v>
      </c>
      <c r="N21" s="3">
        <v>44707</v>
      </c>
      <c r="O21">
        <v>1249.95</v>
      </c>
    </row>
    <row r="22" spans="1:15">
      <c r="A22" s="3" t="str">
        <v>TRX0121</v>
      </c>
      <c r="B22" s="3">
        <v>45449</v>
      </c>
      <c r="C22" s="3" t="str">
        <v>June</v>
      </c>
      <c r="D22" s="3" t="str">
        <v>CUST028</v>
      </c>
      <c r="E22" s="3" t="str">
        <v>Betty Campbell</v>
      </c>
      <c r="F22" s="3" t="str">
        <v>P010</v>
      </c>
      <c r="G22" s="3" t="str">
        <v>Keyboard</v>
      </c>
      <c r="H22" s="3" t="str">
        <v>Electronics</v>
      </c>
      <c r="I22" s="3">
        <v>1</v>
      </c>
      <c r="J22" s="3">
        <v>89.99</v>
      </c>
      <c r="K22" s="3" t="str">
        <v>Credit Card</v>
      </c>
      <c r="L22" s="3" t="str">
        <v>South</v>
      </c>
      <c r="M22" s="3" t="str">
        <v>Standard</v>
      </c>
      <c r="N22" s="3">
        <v>44582</v>
      </c>
      <c r="O22">
        <v>89.99</v>
      </c>
    </row>
    <row r="23" spans="1:15">
      <c r="A23" s="3" t="str">
        <v>TRX0088</v>
      </c>
      <c r="B23" s="3">
        <v>45456</v>
      </c>
      <c r="C23" s="3" t="str">
        <v>June</v>
      </c>
      <c r="D23" s="3" t="str">
        <v>CUST006</v>
      </c>
      <c r="E23" s="3" t="str">
        <v>Lisa Anderson</v>
      </c>
      <c r="F23" s="3" t="str">
        <v>P010</v>
      </c>
      <c r="G23" s="3" t="str">
        <v>Keyboard</v>
      </c>
      <c r="H23" s="3" t="str">
        <v>Electronics</v>
      </c>
      <c r="I23" s="3">
        <v>0</v>
      </c>
      <c r="J23" s="3">
        <v>89.99</v>
      </c>
      <c r="K23" s="3" t="str">
        <v>Cash</v>
      </c>
      <c r="L23" s="3" t="str">
        <v>Central</v>
      </c>
      <c r="M23" s="3" t="str">
        <v>Premium</v>
      </c>
      <c r="N23" s="3">
        <v>44579</v>
      </c>
      <c r="O23">
        <v>449.95</v>
      </c>
    </row>
    <row r="24" spans="1:15">
      <c r="A24" s="3" t="str">
        <v>TRX0115</v>
      </c>
      <c r="B24" s="3">
        <v>45459</v>
      </c>
      <c r="C24" s="3" t="str">
        <v>June</v>
      </c>
      <c r="D24" s="3" t="str">
        <v>CUST012</v>
      </c>
      <c r="E24" s="3" t="str">
        <v>Patricia Moore</v>
      </c>
      <c r="F24" s="3" t="str">
        <v>P010</v>
      </c>
      <c r="G24" s="3" t="str">
        <v>Keyboard</v>
      </c>
      <c r="H24" s="3" t="str">
        <v>Electronics</v>
      </c>
      <c r="I24" s="3">
        <v>2</v>
      </c>
      <c r="J24" s="3">
        <v>89.99</v>
      </c>
      <c r="K24" s="3" t="str">
        <v>Credit Card</v>
      </c>
      <c r="L24" s="3" t="str">
        <v>South</v>
      </c>
      <c r="M24" s="3" t="str">
        <v>Premium</v>
      </c>
      <c r="N24" s="3">
        <v>44471</v>
      </c>
      <c r="O24">
        <v>179.98</v>
      </c>
    </row>
    <row r="25" spans="1:15">
      <c r="A25" s="3" t="str">
        <v>TRX0154</v>
      </c>
      <c r="B25" s="3">
        <v>45459</v>
      </c>
      <c r="C25" s="3" t="str">
        <v>June</v>
      </c>
      <c r="D25" s="3" t="str">
        <v>CUST023</v>
      </c>
      <c r="E25" s="3" t="str">
        <v>Paul Baker</v>
      </c>
      <c r="F25" s="3" t="str">
        <v>P001</v>
      </c>
      <c r="G25" s="3" t="str">
        <v>Laptop</v>
      </c>
      <c r="H25" s="3" t="str">
        <v>Electronics</v>
      </c>
      <c r="I25" s="3">
        <v>5</v>
      </c>
      <c r="J25" s="3">
        <v>899.99</v>
      </c>
      <c r="K25" s="3" t="str">
        <v>Credit Card</v>
      </c>
      <c r="L25" s="3" t="str">
        <v>South</v>
      </c>
      <c r="M25" s="3" t="str">
        <v>Standard</v>
      </c>
      <c r="N25" s="3">
        <v>44974</v>
      </c>
      <c r="O25">
        <v>4499.95</v>
      </c>
    </row>
    <row r="26" spans="1:15">
      <c r="A26" s="3" t="str">
        <v>TRX0044</v>
      </c>
      <c r="B26" s="3">
        <v>45459</v>
      </c>
      <c r="C26" s="3" t="str">
        <v>June</v>
      </c>
      <c r="D26" s="3" t="str">
        <v>CUST029</v>
      </c>
      <c r="E26" s="3" t="str">
        <v>Edward Mitchell</v>
      </c>
      <c r="F26" s="3" t="str">
        <v>P001</v>
      </c>
      <c r="G26" s="3" t="str">
        <v>Laptop</v>
      </c>
      <c r="H26" s="3" t="str">
        <v>Electronics</v>
      </c>
      <c r="I26" s="3">
        <v>5</v>
      </c>
      <c r="J26" s="3">
        <v>899.99</v>
      </c>
      <c r="K26" s="3" t="str">
        <v>PayPal</v>
      </c>
      <c r="L26" s="3" t="str">
        <v>East</v>
      </c>
      <c r="M26" s="3" t="str">
        <v>Premium</v>
      </c>
      <c r="N26" s="3">
        <v>45278</v>
      </c>
      <c r="O26">
        <v>4499.95</v>
      </c>
    </row>
    <row r="27" spans="1:15">
      <c r="A27" s="3" t="str">
        <v>TRX0025</v>
      </c>
      <c r="B27" s="3">
        <v>45468</v>
      </c>
      <c r="C27" s="3" t="str">
        <v>June</v>
      </c>
      <c r="D27" s="3" t="str">
        <v>CUST049</v>
      </c>
      <c r="E27" s="3" t="str">
        <v>Raymond Ross</v>
      </c>
      <c r="F27" s="3" t="str">
        <v>P010</v>
      </c>
      <c r="G27" s="3" t="str">
        <v>Keyboard</v>
      </c>
      <c r="H27" s="3" t="str">
        <v>Electronics</v>
      </c>
      <c r="I27" s="3">
        <v>4</v>
      </c>
      <c r="J27" s="3">
        <v>89.99</v>
      </c>
      <c r="K27" s="3" t="str">
        <v>Debit Card</v>
      </c>
      <c r="L27" s="3" t="str">
        <v>South</v>
      </c>
      <c r="M27" s="3" t="str">
        <v>Basic</v>
      </c>
      <c r="N27" s="3">
        <v>45281</v>
      </c>
      <c r="O27">
        <v>359.96</v>
      </c>
    </row>
    <row r="28" spans="1:15">
      <c r="A28" s="3" t="str">
        <v>TRX0007</v>
      </c>
      <c r="B28" s="3">
        <v>45469</v>
      </c>
      <c r="C28" s="3" t="str">
        <v>June</v>
      </c>
      <c r="D28" s="3" t="str">
        <v>CUST009</v>
      </c>
      <c r="E28" s="3" t="str">
        <v>Robert Thomas</v>
      </c>
      <c r="F28" s="3" t="str">
        <v>P010</v>
      </c>
      <c r="G28" s="3" t="str">
        <v>Keyboard</v>
      </c>
      <c r="H28" s="3" t="str">
        <v>Electronics</v>
      </c>
      <c r="I28" s="3">
        <v>2</v>
      </c>
      <c r="J28" s="3">
        <v>89.99</v>
      </c>
      <c r="K28" s="3" t="str">
        <v>Cash</v>
      </c>
      <c r="L28" s="3" t="str">
        <v>West</v>
      </c>
      <c r="M28" s="3" t="str">
        <v>Basic</v>
      </c>
      <c r="N28" s="3">
        <v>44438</v>
      </c>
      <c r="O28">
        <v>179.98</v>
      </c>
    </row>
    <row r="29" spans="1:15">
      <c r="A29" s="3" t="str">
        <v>TRX0184</v>
      </c>
      <c r="B29" s="3">
        <v>45471</v>
      </c>
      <c r="C29" s="3" t="str">
        <v>June</v>
      </c>
      <c r="D29" s="3" t="str">
        <v>CUST046</v>
      </c>
      <c r="E29" s="3" t="str">
        <v>Kathleen Bennett</v>
      </c>
      <c r="F29" s="3" t="str">
        <v>P002</v>
      </c>
      <c r="G29" s="3" t="str">
        <v>Smartphone</v>
      </c>
      <c r="H29" s="3" t="str">
        <v>Electronics</v>
      </c>
      <c r="I29" s="3">
        <v>0</v>
      </c>
      <c r="J29" s="3">
        <v>699.99</v>
      </c>
      <c r="K29" s="3" t="str">
        <v>Credit Card</v>
      </c>
      <c r="L29" s="3" t="str">
        <v>East</v>
      </c>
      <c r="M29" s="3" t="str">
        <v>Premium</v>
      </c>
      <c r="N29" s="3">
        <v>45102</v>
      </c>
      <c r="O29">
        <v>2099.9699999999998</v>
      </c>
    </row>
    <row r="30" spans="1:15">
      <c r="A30" s="3" t="str">
        <v>TRX0104</v>
      </c>
      <c r="B30" s="3">
        <v>45471</v>
      </c>
      <c r="C30" s="3" t="str">
        <v>June</v>
      </c>
      <c r="D30" s="3" t="str">
        <v>CUST012</v>
      </c>
      <c r="E30" s="3" t="str">
        <v>Patricia Moore</v>
      </c>
      <c r="F30" s="3" t="str">
        <v>P001</v>
      </c>
      <c r="G30" s="3" t="str">
        <v>Laptop</v>
      </c>
      <c r="H30" s="3" t="str">
        <v>Electronics</v>
      </c>
      <c r="I30" s="3">
        <v>0</v>
      </c>
      <c r="J30" s="3">
        <v>899.99</v>
      </c>
      <c r="K30" s="3" t="str">
        <v>Credit Card</v>
      </c>
      <c r="L30" s="3" t="str">
        <v>East</v>
      </c>
      <c r="M30" s="3" t="str">
        <v>Premium</v>
      </c>
      <c r="N30" s="3">
        <v>44993</v>
      </c>
      <c r="O30">
        <v>3599.96</v>
      </c>
    </row>
    <row r="31" spans="1:15">
      <c r="A31" s="3" t="str">
        <v>TRX0096</v>
      </c>
      <c r="B31" s="3">
        <v>45474</v>
      </c>
      <c r="C31" s="3" t="str">
        <v>July</v>
      </c>
      <c r="D31" s="3" t="str">
        <v>CUST002</v>
      </c>
      <c r="E31" s="3" t="str">
        <v>Emma Wilson</v>
      </c>
      <c r="F31" s="3" t="str">
        <v>P010</v>
      </c>
      <c r="G31" s="3" t="str">
        <v>Keyboard</v>
      </c>
      <c r="H31" s="3" t="str">
        <v>Electronics</v>
      </c>
      <c r="I31" s="3">
        <v>2</v>
      </c>
      <c r="J31" s="3">
        <v>89.99</v>
      </c>
      <c r="K31" s="3" t="str">
        <v>PayPal</v>
      </c>
      <c r="L31" s="3" t="str">
        <v>Central</v>
      </c>
      <c r="M31" s="3" t="str">
        <v>Premium</v>
      </c>
      <c r="N31" s="3">
        <v>45275</v>
      </c>
      <c r="O31">
        <v>179.98</v>
      </c>
    </row>
    <row r="32" spans="1:15">
      <c r="A32" s="3" t="str">
        <v>TRX0192</v>
      </c>
      <c r="B32" s="3">
        <v>45475</v>
      </c>
      <c r="C32" s="3" t="str">
        <v>July</v>
      </c>
      <c r="D32" s="3" t="str">
        <v>CUST017</v>
      </c>
      <c r="E32" s="3" t="str">
        <v>Charles Allen</v>
      </c>
      <c r="F32" s="3" t="str">
        <v>P010</v>
      </c>
      <c r="G32" s="3" t="str">
        <v>Keyboard</v>
      </c>
      <c r="H32" s="3" t="str">
        <v>Electronics</v>
      </c>
      <c r="I32" s="3">
        <v>1</v>
      </c>
      <c r="J32" s="3">
        <v>89.99</v>
      </c>
      <c r="K32" s="3" t="str">
        <v>PayPal</v>
      </c>
      <c r="L32" s="3" t="str">
        <v>West</v>
      </c>
      <c r="M32" s="3" t="str">
        <v>Standard</v>
      </c>
      <c r="N32" s="3">
        <v>44802</v>
      </c>
      <c r="O32">
        <v>89.99</v>
      </c>
    </row>
    <row r="33" spans="1:15">
      <c r="A33" s="3" t="str">
        <v>TRX0052</v>
      </c>
      <c r="B33" s="3">
        <v>45476</v>
      </c>
      <c r="C33" s="3" t="str">
        <v>July</v>
      </c>
      <c r="D33" s="3" t="str">
        <v>CUST022</v>
      </c>
      <c r="E33" s="3" t="str">
        <v>Susan Green</v>
      </c>
      <c r="F33" s="3" t="str">
        <v>P010</v>
      </c>
      <c r="G33" s="3" t="str">
        <v>Keyboard</v>
      </c>
      <c r="H33" s="3" t="str">
        <v>Electronics</v>
      </c>
      <c r="I33" s="3">
        <v>1</v>
      </c>
      <c r="J33" s="3">
        <v>89.99</v>
      </c>
      <c r="K33" s="3" t="str">
        <v>Cash</v>
      </c>
      <c r="L33" s="3" t="str">
        <v>South</v>
      </c>
      <c r="M33" s="3" t="str">
        <v>Standard</v>
      </c>
      <c r="N33" s="3">
        <v>44611</v>
      </c>
      <c r="O33">
        <v>89.99</v>
      </c>
    </row>
    <row r="34" spans="1:15">
      <c r="A34" s="3" t="str">
        <v>TRX0113</v>
      </c>
      <c r="B34" s="3">
        <v>45481</v>
      </c>
      <c r="C34" s="3" t="str">
        <v>July</v>
      </c>
      <c r="D34" s="3" t="str">
        <v>CUST003</v>
      </c>
      <c r="E34" s="3" t="str">
        <v>Michael Brown</v>
      </c>
      <c r="F34" s="3" t="str">
        <v>P002</v>
      </c>
      <c r="G34" s="3" t="str">
        <v>Smartphone</v>
      </c>
      <c r="H34" s="3" t="str">
        <v>Electronics</v>
      </c>
      <c r="I34" s="3">
        <v>0</v>
      </c>
      <c r="J34" s="3">
        <v>699.99</v>
      </c>
      <c r="K34" s="3" t="str">
        <v>PayPal</v>
      </c>
      <c r="L34" s="3" t="str">
        <v>East</v>
      </c>
      <c r="M34" s="3" t="str">
        <v>Premium</v>
      </c>
      <c r="N34" s="3">
        <v>45389</v>
      </c>
      <c r="O34">
        <v>1399.98</v>
      </c>
    </row>
    <row r="35" spans="1:15">
      <c r="A35" s="3" t="str">
        <v>TRX0114</v>
      </c>
      <c r="B35" s="3">
        <v>45481</v>
      </c>
      <c r="C35" s="3" t="str">
        <v>July</v>
      </c>
      <c r="D35" s="3" t="str">
        <v>CUST018</v>
      </c>
      <c r="E35" s="3" t="str">
        <v>Barbara Young</v>
      </c>
      <c r="F35" s="3" t="str">
        <v>P010</v>
      </c>
      <c r="G35" s="3" t="str">
        <v>Keyboard</v>
      </c>
      <c r="H35" s="3" t="str">
        <v>Electronics</v>
      </c>
      <c r="I35" s="3">
        <v>0</v>
      </c>
      <c r="J35" s="3">
        <v>89.99</v>
      </c>
      <c r="K35" s="3" t="str">
        <v>Debit Card</v>
      </c>
      <c r="L35" s="3" t="str">
        <v>North</v>
      </c>
      <c r="M35" s="3" t="str">
        <v>Premium</v>
      </c>
      <c r="N35" s="3">
        <v>45161</v>
      </c>
      <c r="O35">
        <v>449.95</v>
      </c>
    </row>
    <row r="36" spans="1:15">
      <c r="A36" s="3" t="str">
        <v>TRX0018</v>
      </c>
      <c r="B36" s="3">
        <v>45484</v>
      </c>
      <c r="C36" s="3" t="str">
        <v>July</v>
      </c>
      <c r="D36" s="3" t="str">
        <v>CUST013</v>
      </c>
      <c r="E36" s="3" t="str">
        <v>Joseph Jackson</v>
      </c>
      <c r="F36" s="3" t="str">
        <v>P003</v>
      </c>
      <c r="G36" s="3" t="str">
        <v>Headphones</v>
      </c>
      <c r="H36" s="3" t="str">
        <v>Electronics</v>
      </c>
      <c r="I36" s="3">
        <v>1</v>
      </c>
      <c r="J36" s="3">
        <v>149.99</v>
      </c>
      <c r="K36" s="3" t="str">
        <v>Cash</v>
      </c>
      <c r="L36" s="3" t="str">
        <v>Central</v>
      </c>
      <c r="M36" s="3" t="str">
        <v>Standard</v>
      </c>
      <c r="N36" s="3">
        <v>44909</v>
      </c>
      <c r="O36">
        <v>149.99</v>
      </c>
    </row>
    <row r="37" spans="1:15">
      <c r="A37" s="3" t="str">
        <v>TRX0162</v>
      </c>
      <c r="B37" s="3">
        <v>45496</v>
      </c>
      <c r="C37" s="3" t="str">
        <v>July</v>
      </c>
      <c r="D37" s="3" t="str">
        <v>CUST040</v>
      </c>
      <c r="E37" s="3" t="str">
        <v>Sharon Butler</v>
      </c>
      <c r="F37" s="3" t="str">
        <v>P001</v>
      </c>
      <c r="G37" s="3" t="str">
        <v>Laptop</v>
      </c>
      <c r="H37" s="3" t="str">
        <v>Electronics</v>
      </c>
      <c r="I37" s="3" t="str">
        <v>x</v>
      </c>
      <c r="J37" s="3">
        <v>899.99</v>
      </c>
      <c r="K37" s="3" t="str">
        <v>Cash</v>
      </c>
      <c r="L37" s="3" t="str">
        <v>Central</v>
      </c>
      <c r="M37" s="3" t="str">
        <v>Standard</v>
      </c>
      <c r="N37" s="3">
        <v>45179</v>
      </c>
      <c r="O37">
        <v>899.99</v>
      </c>
    </row>
    <row r="38" spans="1:15">
      <c r="A38" s="3" t="str">
        <v>TRX0244</v>
      </c>
      <c r="B38" s="3">
        <v>45497</v>
      </c>
      <c r="C38" s="3" t="str">
        <v>July</v>
      </c>
      <c r="D38" s="3" t="str">
        <v>CUST013</v>
      </c>
      <c r="E38" s="3" t="str">
        <v>Joseph Jackson</v>
      </c>
      <c r="F38" s="3" t="str">
        <v>P001</v>
      </c>
      <c r="G38" s="3" t="str">
        <v>Laptop</v>
      </c>
      <c r="H38" s="3" t="str">
        <v>Electronics</v>
      </c>
      <c r="I38" s="3">
        <v>5</v>
      </c>
      <c r="J38" s="3">
        <v>899.99</v>
      </c>
      <c r="K38" s="3" t="str">
        <v>Debit Card</v>
      </c>
      <c r="L38" s="3" t="str">
        <v>South</v>
      </c>
      <c r="M38" s="3" t="str">
        <v>Standard</v>
      </c>
      <c r="N38" s="3">
        <v>44899</v>
      </c>
      <c r="O38">
        <v>4499.95</v>
      </c>
    </row>
    <row r="39" spans="1:15">
      <c r="A39" s="3" t="str">
        <v>TRX0215</v>
      </c>
      <c r="B39" s="3">
        <v>45498</v>
      </c>
      <c r="C39" s="3" t="str">
        <v>July</v>
      </c>
      <c r="D39" s="3" t="str">
        <v>CUST047</v>
      </c>
      <c r="E39" s="3" t="str">
        <v>Gerald Murphy</v>
      </c>
      <c r="F39" s="3" t="str">
        <v>P009</v>
      </c>
      <c r="G39" s="3" t="str">
        <v>Monitor</v>
      </c>
      <c r="H39" s="3" t="str">
        <v>Electronics</v>
      </c>
      <c r="I39" s="3">
        <v>4</v>
      </c>
      <c r="J39" s="3">
        <v>249.99</v>
      </c>
      <c r="K39" s="3" t="str">
        <v>Debit Card</v>
      </c>
      <c r="L39" s="3" t="str">
        <v>Central</v>
      </c>
      <c r="M39" s="3" t="str">
        <v>Standard</v>
      </c>
      <c r="N39" s="3">
        <v>45127</v>
      </c>
      <c r="O39">
        <v>999.96</v>
      </c>
    </row>
    <row r="40" spans="1:15">
      <c r="A40" s="3" t="str">
        <v>TRX0080</v>
      </c>
      <c r="B40" s="3">
        <v>45500</v>
      </c>
      <c r="C40" s="3" t="str">
        <v>July</v>
      </c>
      <c r="D40" s="3" t="str">
        <v>CUST018</v>
      </c>
      <c r="E40" s="3" t="str">
        <v>Barbara Young</v>
      </c>
      <c r="F40" s="3" t="str">
        <v>P009</v>
      </c>
      <c r="G40" s="3" t="str">
        <v>Monitor</v>
      </c>
      <c r="H40" s="3" t="str">
        <v>Electronics</v>
      </c>
      <c r="I40" s="3">
        <v>2</v>
      </c>
      <c r="J40" s="3">
        <v>249.99</v>
      </c>
      <c r="K40" s="3" t="str">
        <v>Cash</v>
      </c>
      <c r="L40" s="3" t="str">
        <v>North</v>
      </c>
      <c r="M40" s="3" t="str">
        <v>Premium</v>
      </c>
      <c r="N40" s="3">
        <v>45164</v>
      </c>
      <c r="O40">
        <v>499.98</v>
      </c>
    </row>
    <row r="41" spans="1:15">
      <c r="A41" s="3" t="str">
        <v>TRX0157</v>
      </c>
      <c r="B41" s="3">
        <v>45501</v>
      </c>
      <c r="C41" s="3" t="str">
        <v>July</v>
      </c>
      <c r="D41" s="3" t="str">
        <v>CUST025</v>
      </c>
      <c r="E41" s="3" t="str">
        <v>Mark Carter</v>
      </c>
      <c r="F41" s="3" t="str">
        <v>P010</v>
      </c>
      <c r="G41" s="3" t="str">
        <v>Keyboard</v>
      </c>
      <c r="H41" s="3" t="str">
        <v>Electronics</v>
      </c>
      <c r="I41" s="3">
        <v>2</v>
      </c>
      <c r="J41" s="3">
        <v>89.99</v>
      </c>
      <c r="K41" s="3" t="str">
        <v>PayPal</v>
      </c>
      <c r="L41" s="3" t="str">
        <v>South</v>
      </c>
      <c r="M41" s="3" t="str">
        <v>Basic</v>
      </c>
      <c r="N41" s="3">
        <v>44976</v>
      </c>
      <c r="O41">
        <v>179.98</v>
      </c>
    </row>
    <row r="42" spans="1:15">
      <c r="A42" s="3" t="str">
        <v>TRX0217</v>
      </c>
      <c r="B42" s="3">
        <v>45503</v>
      </c>
      <c r="C42" s="3" t="str">
        <v>July</v>
      </c>
      <c r="D42" s="3" t="str">
        <v>CUST025</v>
      </c>
      <c r="E42" s="3" t="str">
        <v>Mark Carter</v>
      </c>
      <c r="F42" s="3" t="str">
        <v>P002</v>
      </c>
      <c r="G42" s="3" t="str">
        <v>Smartphone</v>
      </c>
      <c r="H42" s="3" t="str">
        <v>Electronics</v>
      </c>
      <c r="I42" s="3">
        <v>2</v>
      </c>
      <c r="J42" s="3">
        <v>699.99</v>
      </c>
      <c r="K42" s="3" t="str">
        <v>Credit Card</v>
      </c>
      <c r="L42" s="3" t="str">
        <v>North</v>
      </c>
      <c r="M42" s="3" t="str">
        <v>Premium</v>
      </c>
      <c r="N42" s="3">
        <v>44999</v>
      </c>
      <c r="O42">
        <v>1399.98</v>
      </c>
    </row>
    <row r="43" spans="1:15">
      <c r="A43" s="3" t="str">
        <v>TRX0249</v>
      </c>
      <c r="B43" s="3">
        <v>45504</v>
      </c>
      <c r="C43" s="3" t="str">
        <v>July</v>
      </c>
      <c r="D43" s="3" t="str">
        <v>CUST030</v>
      </c>
      <c r="E43" s="3" t="str">
        <v>Helen Roberts</v>
      </c>
      <c r="F43" s="3" t="str">
        <v>P001</v>
      </c>
      <c r="G43" s="3" t="str">
        <v>Laptop</v>
      </c>
      <c r="H43" s="3" t="str">
        <v>Electronics</v>
      </c>
      <c r="I43" s="3">
        <v>4</v>
      </c>
      <c r="J43" s="3">
        <v>899.99</v>
      </c>
      <c r="K43" s="3" t="str">
        <v>Debit Card</v>
      </c>
      <c r="L43" s="3" t="str">
        <v>South</v>
      </c>
      <c r="M43" s="3" t="str">
        <v>Standard</v>
      </c>
      <c r="N43" s="3">
        <v>44523</v>
      </c>
      <c r="O43">
        <v>3599.96</v>
      </c>
    </row>
    <row r="44" spans="1:15">
      <c r="A44" s="3" t="str">
        <v>TRX0101</v>
      </c>
      <c r="B44" s="3">
        <v>45513</v>
      </c>
      <c r="C44" s="3" t="str">
        <v>August</v>
      </c>
      <c r="D44" s="3" t="str">
        <v>CUST010</v>
      </c>
      <c r="E44" s="3" t="str">
        <v>Maria Garcia</v>
      </c>
      <c r="F44" s="3" t="str">
        <v>P010</v>
      </c>
      <c r="G44" s="3" t="str">
        <v>Keyboard</v>
      </c>
      <c r="H44" s="3" t="str">
        <v>Electronics</v>
      </c>
      <c r="I44" s="3">
        <v>1</v>
      </c>
      <c r="J44" s="3">
        <v>89.99</v>
      </c>
      <c r="K44" s="3" t="str">
        <v>Credit Card</v>
      </c>
      <c r="L44" s="3" t="str">
        <v>North</v>
      </c>
      <c r="M44" s="3" t="str">
        <v>Standard</v>
      </c>
      <c r="N44" s="3">
        <v>45393</v>
      </c>
      <c r="O44">
        <v>89.99</v>
      </c>
    </row>
    <row r="45" spans="1:15">
      <c r="A45" s="3" t="str">
        <v>TRX0020</v>
      </c>
      <c r="B45" s="3">
        <v>45517</v>
      </c>
      <c r="C45" s="3" t="str">
        <v>August</v>
      </c>
      <c r="D45" s="3" t="str">
        <v>CUST007</v>
      </c>
      <c r="E45" s="3" t="str">
        <v>David Martinez</v>
      </c>
      <c r="F45" s="3" t="str">
        <v>P003</v>
      </c>
      <c r="G45" s="3" t="str">
        <v>Headphones</v>
      </c>
      <c r="H45" s="3" t="str">
        <v>Electronics</v>
      </c>
      <c r="I45" s="3">
        <v>4</v>
      </c>
      <c r="J45" s="3">
        <v>149.99</v>
      </c>
      <c r="K45" s="3" t="str">
        <v>Debit Card</v>
      </c>
      <c r="L45" s="3" t="str">
        <v>South</v>
      </c>
      <c r="M45" s="3" t="str">
        <v>Premium</v>
      </c>
      <c r="N45" s="3">
        <v>44820</v>
      </c>
      <c r="O45">
        <v>599.96</v>
      </c>
    </row>
    <row r="46" spans="1:15">
      <c r="A46" s="3" t="str">
        <v>TRX0075</v>
      </c>
      <c r="B46" s="3">
        <v>45517</v>
      </c>
      <c r="C46" s="3" t="str">
        <v>August</v>
      </c>
      <c r="D46" s="3" t="str">
        <v>CUST020</v>
      </c>
      <c r="E46" s="3" t="str">
        <v>Margaret Wright</v>
      </c>
      <c r="F46" s="3" t="str">
        <v>P009</v>
      </c>
      <c r="G46" s="3" t="str">
        <v>Monitor</v>
      </c>
      <c r="H46" s="3" t="str">
        <v>Electronics</v>
      </c>
      <c r="I46" s="3">
        <v>5</v>
      </c>
      <c r="J46" s="3">
        <v>249.99</v>
      </c>
      <c r="K46" s="3" t="str">
        <v>PayPal</v>
      </c>
      <c r="L46" s="3" t="str">
        <v>East</v>
      </c>
      <c r="M46" s="3" t="str">
        <v>Premium</v>
      </c>
      <c r="N46" s="3">
        <v>44782</v>
      </c>
      <c r="O46">
        <v>1249.95</v>
      </c>
    </row>
    <row r="47" spans="1:15">
      <c r="A47" s="3" t="str">
        <v>TRX0098</v>
      </c>
      <c r="B47" s="3">
        <v>45517</v>
      </c>
      <c r="C47" s="3" t="str">
        <v>August</v>
      </c>
      <c r="D47" s="3" t="str">
        <v>CUST026</v>
      </c>
      <c r="E47" s="3" t="str">
        <v>Karen Hill</v>
      </c>
      <c r="F47" s="3" t="str">
        <v>P009</v>
      </c>
      <c r="G47" s="3" t="str">
        <v>Monitor</v>
      </c>
      <c r="H47" s="3" t="str">
        <v>Electronics</v>
      </c>
      <c r="I47" s="3">
        <v>3</v>
      </c>
      <c r="J47" s="3">
        <v>249.99</v>
      </c>
      <c r="K47" s="3" t="str">
        <v>PayPal</v>
      </c>
      <c r="L47" s="3" t="str">
        <v>North</v>
      </c>
      <c r="M47" s="3" t="str">
        <v>Premium</v>
      </c>
      <c r="N47" s="3">
        <v>44465</v>
      </c>
      <c r="O47">
        <v>749.97</v>
      </c>
    </row>
    <row r="48" spans="1:15">
      <c r="A48" s="3" t="str">
        <v>TRX0140</v>
      </c>
      <c r="B48" s="3">
        <v>45522</v>
      </c>
      <c r="C48" s="3" t="str">
        <v>August</v>
      </c>
      <c r="D48" s="3" t="str">
        <v>CUST025</v>
      </c>
      <c r="E48" s="3" t="str">
        <v>Mark Carter</v>
      </c>
      <c r="F48" s="3" t="str">
        <v>P010</v>
      </c>
      <c r="G48" s="3" t="str">
        <v>Keyboard</v>
      </c>
      <c r="H48" s="3" t="str">
        <v>Electronics</v>
      </c>
      <c r="I48" s="3">
        <v>2</v>
      </c>
      <c r="J48" s="3">
        <v>89.99</v>
      </c>
      <c r="K48" s="3" t="str">
        <v>Cash</v>
      </c>
      <c r="L48" s="3" t="str">
        <v>East</v>
      </c>
      <c r="M48" s="3" t="str">
        <v>Premium</v>
      </c>
      <c r="N48" s="3">
        <v>44972</v>
      </c>
      <c r="O48">
        <v>179.98</v>
      </c>
    </row>
    <row r="49" spans="1:15">
      <c r="A49" s="3" t="str">
        <v>TRX0132</v>
      </c>
      <c r="B49" s="3">
        <v>45523</v>
      </c>
      <c r="C49" s="3" t="str">
        <v>August</v>
      </c>
      <c r="D49" s="3" t="str">
        <v>CUST047</v>
      </c>
      <c r="E49" s="3" t="str">
        <v>Gerald Murphy</v>
      </c>
      <c r="F49" s="3" t="str">
        <v>P001</v>
      </c>
      <c r="G49" s="3" t="str">
        <v>Laptop</v>
      </c>
      <c r="H49" s="3" t="str">
        <v>Electronics</v>
      </c>
      <c r="I49" s="3">
        <v>5</v>
      </c>
      <c r="J49" s="3">
        <v>899.99</v>
      </c>
      <c r="K49" s="3" t="str">
        <v>Debit Card</v>
      </c>
      <c r="L49" s="3" t="str">
        <v>East</v>
      </c>
      <c r="M49" s="3" t="str">
        <v>Basic</v>
      </c>
      <c r="N49" s="3">
        <v>44526</v>
      </c>
      <c r="O49">
        <v>4499.95</v>
      </c>
    </row>
    <row r="50" spans="1:15">
      <c r="A50" s="3" t="str">
        <v>TRX0031</v>
      </c>
      <c r="B50" s="3">
        <v>45523</v>
      </c>
      <c r="C50" s="3" t="str">
        <v>August</v>
      </c>
      <c r="D50" s="3" t="str">
        <v>CUST036</v>
      </c>
      <c r="E50" s="3" t="str">
        <v>Nancy Collins</v>
      </c>
      <c r="F50" s="3" t="str">
        <v>P003</v>
      </c>
      <c r="G50" s="3" t="str">
        <v>Headphones</v>
      </c>
      <c r="H50" s="3" t="str">
        <v>Electronics</v>
      </c>
      <c r="I50" s="3">
        <v>3</v>
      </c>
      <c r="J50" s="3">
        <v>149.99</v>
      </c>
      <c r="K50" s="3" t="str">
        <v>PayPal</v>
      </c>
      <c r="L50" s="3" t="str">
        <v>East</v>
      </c>
      <c r="M50" s="3" t="str">
        <v>Basic</v>
      </c>
      <c r="N50" s="3">
        <v>44574</v>
      </c>
      <c r="O50">
        <v>449.97</v>
      </c>
    </row>
    <row r="51" spans="1:15">
      <c r="A51" s="3" t="str">
        <v>TRX0037</v>
      </c>
      <c r="B51" s="3">
        <v>45528</v>
      </c>
      <c r="C51" s="3" t="str">
        <v>August</v>
      </c>
      <c r="D51" s="3" t="str">
        <v>CUST035</v>
      </c>
      <c r="E51" s="3" t="str">
        <v>Harry Morgan</v>
      </c>
      <c r="F51" s="3" t="str">
        <v>P009</v>
      </c>
      <c r="G51" s="3" t="str">
        <v>Monitor</v>
      </c>
      <c r="H51" s="3" t="str">
        <v>Electronics</v>
      </c>
      <c r="I51" s="3">
        <v>2</v>
      </c>
      <c r="J51" s="3">
        <v>249.99</v>
      </c>
      <c r="K51" s="3" t="str">
        <v>Cash</v>
      </c>
      <c r="L51" s="3" t="str">
        <v>South</v>
      </c>
      <c r="M51" s="3" t="str">
        <v>Standard</v>
      </c>
      <c r="N51" s="3">
        <v>44572</v>
      </c>
      <c r="O51">
        <v>499.98</v>
      </c>
    </row>
    <row r="52" spans="1:15">
      <c r="A52" s="3" t="str">
        <v>TRX0058</v>
      </c>
      <c r="B52" s="3">
        <v>45532</v>
      </c>
      <c r="C52" s="3" t="str">
        <v>August</v>
      </c>
      <c r="D52" s="3" t="str">
        <v>CUST047</v>
      </c>
      <c r="E52" s="3" t="str">
        <v>Gerald Murphy</v>
      </c>
      <c r="F52" s="3" t="str">
        <v>P002</v>
      </c>
      <c r="G52" s="3" t="str">
        <v>Smartphone</v>
      </c>
      <c r="H52" s="3" t="str">
        <v>Electronics</v>
      </c>
      <c r="I52" s="3">
        <v>1</v>
      </c>
      <c r="J52" s="3">
        <v>699.99</v>
      </c>
      <c r="K52" s="3" t="str">
        <v>Cash</v>
      </c>
      <c r="L52" s="3" t="str">
        <v>Central</v>
      </c>
      <c r="M52" s="3" t="str">
        <v>Premium</v>
      </c>
      <c r="N52" s="3">
        <v>44497</v>
      </c>
      <c r="O52">
        <v>699.99</v>
      </c>
    </row>
    <row r="53" spans="1:15">
      <c r="A53" s="3" t="str">
        <v>TRX0170</v>
      </c>
      <c r="B53" s="3">
        <v>45532</v>
      </c>
      <c r="C53" s="3" t="str">
        <v>August</v>
      </c>
      <c r="D53" s="3" t="str">
        <v>CUST034</v>
      </c>
      <c r="E53" s="3" t="str">
        <v>Carol Evans</v>
      </c>
      <c r="F53" s="3" t="str">
        <v>P003</v>
      </c>
      <c r="G53" s="3" t="str">
        <v>Headphones</v>
      </c>
      <c r="H53" s="3" t="str">
        <v>Electronics</v>
      </c>
      <c r="I53" s="3">
        <v>3</v>
      </c>
      <c r="J53" s="3">
        <v>149.99</v>
      </c>
      <c r="K53" s="3" t="str">
        <v>Cash</v>
      </c>
      <c r="L53" s="3" t="str">
        <v>West</v>
      </c>
      <c r="M53" s="3" t="str">
        <v>Premium</v>
      </c>
      <c r="N53" s="3">
        <v>45212</v>
      </c>
      <c r="O53">
        <v>449.97</v>
      </c>
    </row>
    <row r="54" spans="1:15">
      <c r="A54" s="3" t="str">
        <v>TRX0248</v>
      </c>
      <c r="B54" s="3">
        <v>45534</v>
      </c>
      <c r="C54" s="3" t="str">
        <v>August</v>
      </c>
      <c r="D54" s="3" t="str">
        <v>CUST032</v>
      </c>
      <c r="E54" s="3" t="str">
        <v>Sandra Phillips</v>
      </c>
      <c r="F54" s="3" t="str">
        <v>P002</v>
      </c>
      <c r="G54" s="3" t="str">
        <v>Smartphone</v>
      </c>
      <c r="H54" s="3" t="str">
        <v>Electronics</v>
      </c>
      <c r="I54" s="3">
        <v>2</v>
      </c>
      <c r="J54" s="3">
        <v>699.99</v>
      </c>
      <c r="K54" s="3" t="str">
        <v>Credit Card</v>
      </c>
      <c r="L54" s="3" t="str">
        <v>North</v>
      </c>
      <c r="M54" s="3" t="str">
        <v>Premium</v>
      </c>
      <c r="N54" s="3">
        <v>44421</v>
      </c>
      <c r="O54">
        <v>1399.98</v>
      </c>
    </row>
    <row r="55" spans="1:15">
      <c r="A55" s="3" t="str">
        <v>TRX0099</v>
      </c>
      <c r="B55" s="3">
        <v>45537</v>
      </c>
      <c r="C55" s="3" t="str">
        <v>September</v>
      </c>
      <c r="D55" s="3" t="str">
        <v>CUST034</v>
      </c>
      <c r="E55" s="3" t="str">
        <v>Carol Evans</v>
      </c>
      <c r="F55" s="3" t="str">
        <v>P009</v>
      </c>
      <c r="G55" s="3" t="str">
        <v>Monitor</v>
      </c>
      <c r="H55" s="3" t="str">
        <v>Electronics</v>
      </c>
      <c r="I55" s="3">
        <v>1</v>
      </c>
      <c r="J55" s="3">
        <v>249.99</v>
      </c>
      <c r="K55" s="3" t="str">
        <v>Credit Card</v>
      </c>
      <c r="L55" s="3" t="str">
        <v>West</v>
      </c>
      <c r="M55" s="3" t="str">
        <v>Premium</v>
      </c>
      <c r="N55" s="3">
        <v>44685</v>
      </c>
      <c r="O55">
        <v>249.99</v>
      </c>
    </row>
    <row r="56" spans="1:15">
      <c r="A56" s="3" t="str">
        <v>TRX0074</v>
      </c>
      <c r="B56" s="3">
        <v>45537</v>
      </c>
      <c r="C56" s="3" t="str">
        <v>September</v>
      </c>
      <c r="D56" s="3" t="str">
        <v>CUST023</v>
      </c>
      <c r="E56" s="3" t="str">
        <v>Paul Baker</v>
      </c>
      <c r="F56" s="3" t="str">
        <v>P009</v>
      </c>
      <c r="G56" s="3" t="str">
        <v>Monitor</v>
      </c>
      <c r="H56" s="3" t="str">
        <v>Electronics</v>
      </c>
      <c r="I56" s="3">
        <v>1</v>
      </c>
      <c r="J56" s="3">
        <v>249.99</v>
      </c>
      <c r="K56" s="3" t="str">
        <v>Debit Card</v>
      </c>
      <c r="L56" s="3" t="str">
        <v>North</v>
      </c>
      <c r="M56" s="3" t="str">
        <v>Premium</v>
      </c>
      <c r="N56" s="3">
        <v>45332</v>
      </c>
      <c r="O56">
        <v>249.99</v>
      </c>
    </row>
    <row r="57" spans="1:15">
      <c r="A57" s="3" t="str">
        <v>TRX0225</v>
      </c>
      <c r="B57" s="3">
        <v>45538</v>
      </c>
      <c r="C57" s="3" t="str">
        <v>September</v>
      </c>
      <c r="D57" s="3" t="str">
        <v>CUST039</v>
      </c>
      <c r="E57" s="3" t="str">
        <v>Lawrence Reed</v>
      </c>
      <c r="F57" s="3" t="str">
        <v>P002</v>
      </c>
      <c r="G57" s="3" t="str">
        <v>Smartphone</v>
      </c>
      <c r="H57" s="3" t="str">
        <v>Electronics</v>
      </c>
      <c r="I57" s="3">
        <v>2</v>
      </c>
      <c r="J57" s="3">
        <v>699.99</v>
      </c>
      <c r="K57" s="3" t="str">
        <v>Debit Card</v>
      </c>
      <c r="L57" s="3" t="str">
        <v>Central</v>
      </c>
      <c r="M57" s="3" t="str">
        <v>Premium</v>
      </c>
      <c r="N57" s="3">
        <v>44870</v>
      </c>
      <c r="O57">
        <v>1399.98</v>
      </c>
    </row>
    <row r="58" spans="1:15">
      <c r="A58" s="3" t="str">
        <v>TRX0211</v>
      </c>
      <c r="B58" s="3">
        <v>45548</v>
      </c>
      <c r="C58" s="3" t="str">
        <v>September</v>
      </c>
      <c r="D58" s="3" t="str">
        <v>CUST046</v>
      </c>
      <c r="E58" s="3" t="str">
        <v>Kathleen Bennett</v>
      </c>
      <c r="F58" s="3" t="str">
        <v>P010</v>
      </c>
      <c r="G58" s="3" t="str">
        <v>Keyboard</v>
      </c>
      <c r="H58" s="3" t="str">
        <v>Electronics</v>
      </c>
      <c r="I58" s="3">
        <v>2</v>
      </c>
      <c r="J58" s="3">
        <v>89.99</v>
      </c>
      <c r="K58" s="3" t="str">
        <v>Credit Card</v>
      </c>
      <c r="L58" s="3" t="str">
        <v>South</v>
      </c>
      <c r="M58" s="3" t="str">
        <v>Premium</v>
      </c>
      <c r="N58" s="3">
        <v>44641</v>
      </c>
      <c r="O58">
        <v>179.98</v>
      </c>
    </row>
    <row r="59" spans="1:15">
      <c r="A59" s="3" t="str">
        <v>TRX0005</v>
      </c>
      <c r="B59" s="3">
        <v>45550</v>
      </c>
      <c r="C59" s="3" t="str">
        <v>September</v>
      </c>
      <c r="D59" s="3" t="str">
        <v>CUST042</v>
      </c>
      <c r="E59" s="3" t="str">
        <v>Ruth Brooks</v>
      </c>
      <c r="F59" s="3" t="str">
        <v>P003</v>
      </c>
      <c r="G59" s="3" t="str">
        <v>Headphones</v>
      </c>
      <c r="H59" s="3" t="str">
        <v>Electronics</v>
      </c>
      <c r="I59" s="3">
        <v>4</v>
      </c>
      <c r="J59" s="3">
        <v>149.99</v>
      </c>
      <c r="K59" s="3" t="str">
        <v>Cash</v>
      </c>
      <c r="L59" s="3" t="str">
        <v>North</v>
      </c>
      <c r="M59" s="3" t="str">
        <v>Basic</v>
      </c>
      <c r="N59" s="3">
        <v>44909</v>
      </c>
      <c r="O59">
        <v>599.96</v>
      </c>
    </row>
    <row r="60" spans="1:15">
      <c r="A60" s="3" t="str">
        <v>TRX0195</v>
      </c>
      <c r="B60" s="3">
        <v>45551</v>
      </c>
      <c r="C60" s="3" t="str">
        <v>September</v>
      </c>
      <c r="D60" s="3" t="str">
        <v>CUST026</v>
      </c>
      <c r="E60" s="3" t="str">
        <v>Karen Hill</v>
      </c>
      <c r="F60" s="3" t="str">
        <v>P009</v>
      </c>
      <c r="G60" s="3" t="str">
        <v>Monitor</v>
      </c>
      <c r="H60" s="3" t="str">
        <v>Electronics</v>
      </c>
      <c r="I60" s="3">
        <v>2</v>
      </c>
      <c r="J60" s="3">
        <v>249.99</v>
      </c>
      <c r="K60" s="3" t="str">
        <v>PayPal</v>
      </c>
      <c r="L60" s="3" t="str">
        <v>South</v>
      </c>
      <c r="M60" s="3" t="str">
        <v>Basic</v>
      </c>
      <c r="N60" s="3">
        <v>44993</v>
      </c>
      <c r="O60">
        <v>499.98</v>
      </c>
    </row>
    <row r="61" spans="1:15">
      <c r="A61" s="3" t="str">
        <v>TRX0077</v>
      </c>
      <c r="B61" s="3">
        <v>45554</v>
      </c>
      <c r="C61" s="3" t="str">
        <v>September</v>
      </c>
      <c r="D61" s="3" t="str">
        <v>CUST019</v>
      </c>
      <c r="E61" s="3" t="str">
        <v>Daniel King</v>
      </c>
      <c r="F61" s="3" t="str">
        <v>P010</v>
      </c>
      <c r="G61" s="3" t="str">
        <v>Keyboard</v>
      </c>
      <c r="H61" s="3" t="str">
        <v>Electronics</v>
      </c>
      <c r="I61" s="3">
        <v>5</v>
      </c>
      <c r="J61" s="3">
        <v>89.99</v>
      </c>
      <c r="K61" s="3" t="str">
        <v>Credit Card</v>
      </c>
      <c r="L61" s="3" t="str">
        <v>East</v>
      </c>
      <c r="M61" s="3" t="str">
        <v>Premium</v>
      </c>
      <c r="N61" s="3">
        <v>44446</v>
      </c>
      <c r="O61">
        <v>449.95</v>
      </c>
    </row>
    <row r="62" spans="1:15">
      <c r="A62" s="3" t="str">
        <v>TRX0111</v>
      </c>
      <c r="B62" s="3">
        <v>45554</v>
      </c>
      <c r="C62" s="3" t="str">
        <v>September</v>
      </c>
      <c r="D62" s="3" t="str">
        <v>CUST011</v>
      </c>
      <c r="E62" s="3" t="str">
        <v>William White</v>
      </c>
      <c r="F62" s="3" t="str">
        <v>P003</v>
      </c>
      <c r="G62" s="3" t="str">
        <v>Headphones</v>
      </c>
      <c r="H62" s="3" t="str">
        <v>Electronics</v>
      </c>
      <c r="I62" s="3">
        <v>1</v>
      </c>
      <c r="J62" s="3">
        <v>149.99</v>
      </c>
      <c r="K62" s="3" t="str">
        <v>PayPal</v>
      </c>
      <c r="L62" s="3" t="str">
        <v>East</v>
      </c>
      <c r="M62" s="3" t="str">
        <v>Standard</v>
      </c>
      <c r="N62" s="3">
        <v>44482</v>
      </c>
      <c r="O62">
        <v>149.99</v>
      </c>
    </row>
    <row r="63" spans="1:15">
      <c r="A63" s="3" t="str">
        <v>TRX0123</v>
      </c>
      <c r="B63" s="3">
        <v>45554</v>
      </c>
      <c r="C63" s="3" t="str">
        <v>September</v>
      </c>
      <c r="D63" s="3" t="str">
        <v>CUST041</v>
      </c>
      <c r="E63" s="3" t="str">
        <v>Peter Richardson</v>
      </c>
      <c r="F63" s="3" t="str">
        <v>P002</v>
      </c>
      <c r="G63" s="3" t="str">
        <v>Smartphone</v>
      </c>
      <c r="H63" s="3" t="str">
        <v>Electronics</v>
      </c>
      <c r="I63" s="3">
        <v>4</v>
      </c>
      <c r="J63" s="3">
        <v>699.99</v>
      </c>
      <c r="K63" s="3" t="str">
        <v>PayPal</v>
      </c>
      <c r="L63" s="3" t="str">
        <v>South</v>
      </c>
      <c r="M63" s="3" t="str">
        <v>Basic</v>
      </c>
      <c r="N63" s="3">
        <v>44618</v>
      </c>
      <c r="O63">
        <v>2799.96</v>
      </c>
    </row>
    <row r="64" spans="1:15">
      <c r="A64" s="3" t="str">
        <v>TRX0177</v>
      </c>
      <c r="B64" s="3">
        <v>45559</v>
      </c>
      <c r="C64" s="3" t="str">
        <v>September</v>
      </c>
      <c r="D64" s="3" t="str">
        <v>CUST032</v>
      </c>
      <c r="E64" s="3" t="str">
        <v>Sandra Phillips</v>
      </c>
      <c r="F64" s="3" t="str">
        <v>P001</v>
      </c>
      <c r="G64" s="3" t="str">
        <v>Laptop</v>
      </c>
      <c r="H64" s="3" t="str">
        <v>Electronics</v>
      </c>
      <c r="I64" s="3">
        <v>3</v>
      </c>
      <c r="J64" s="3">
        <v>899.99</v>
      </c>
      <c r="K64" s="3" t="str">
        <v>Credit Card</v>
      </c>
      <c r="L64" s="3" t="str">
        <v>North</v>
      </c>
      <c r="M64" s="3" t="str">
        <v>Standard</v>
      </c>
      <c r="N64" s="3">
        <v>45157</v>
      </c>
      <c r="O64">
        <v>2699.97</v>
      </c>
    </row>
    <row r="65" spans="1:15">
      <c r="A65" s="3" t="str">
        <v>TRX0203</v>
      </c>
      <c r="B65" s="3">
        <v>45572</v>
      </c>
      <c r="C65" s="3" t="str">
        <v>October</v>
      </c>
      <c r="D65" s="3" t="str">
        <v>CUST032</v>
      </c>
      <c r="E65" s="3" t="str">
        <v>Sandra Phillips</v>
      </c>
      <c r="F65" s="3" t="str">
        <v>P003</v>
      </c>
      <c r="G65" s="3" t="str">
        <v>Headphones</v>
      </c>
      <c r="H65" s="3" t="str">
        <v>Electronics</v>
      </c>
      <c r="I65" s="3">
        <v>4</v>
      </c>
      <c r="J65" s="3">
        <v>149.99</v>
      </c>
      <c r="K65" s="3" t="str">
        <v>Credit Card</v>
      </c>
      <c r="L65" s="3" t="str">
        <v>North</v>
      </c>
      <c r="M65" s="3" t="str">
        <v>Premium</v>
      </c>
      <c r="N65" s="3">
        <v>45076</v>
      </c>
      <c r="O65">
        <v>599.96</v>
      </c>
    </row>
    <row r="66" spans="1:15">
      <c r="A66" s="3" t="str">
        <v>TRX0055</v>
      </c>
      <c r="B66" s="3">
        <v>45573</v>
      </c>
      <c r="C66" s="3" t="str">
        <v>October</v>
      </c>
      <c r="D66" s="3" t="str">
        <v>CUST016</v>
      </c>
      <c r="E66" s="3" t="str">
        <v>Elizabeth Hall</v>
      </c>
      <c r="F66" s="3" t="str">
        <v>P002</v>
      </c>
      <c r="G66" s="3" t="str">
        <v>Smartphone</v>
      </c>
      <c r="H66" s="3" t="str">
        <v>Electronics</v>
      </c>
      <c r="I66" s="3">
        <v>2</v>
      </c>
      <c r="J66" s="3">
        <v>699.99</v>
      </c>
      <c r="K66" s="3" t="str">
        <v>Debit Card</v>
      </c>
      <c r="L66" s="3" t="str">
        <v>East</v>
      </c>
      <c r="M66" s="3" t="str">
        <v>Premium</v>
      </c>
      <c r="N66" s="3">
        <v>45274</v>
      </c>
      <c r="O66">
        <v>1399.98</v>
      </c>
    </row>
    <row r="67" spans="1:15">
      <c r="A67" s="3" t="str">
        <v>TRX0158</v>
      </c>
      <c r="B67" s="3">
        <v>45579</v>
      </c>
      <c r="C67" s="3" t="str">
        <v>October</v>
      </c>
      <c r="D67" s="3" t="str">
        <v>CUST027</v>
      </c>
      <c r="E67" s="3" t="str">
        <v>George Adams</v>
      </c>
      <c r="F67" s="3" t="str">
        <v>P001</v>
      </c>
      <c r="G67" s="3" t="str">
        <v>Laptop</v>
      </c>
      <c r="H67" s="3" t="str">
        <v>Electronics</v>
      </c>
      <c r="I67" s="3">
        <v>3</v>
      </c>
      <c r="J67" s="3">
        <v>899.99</v>
      </c>
      <c r="K67" s="3" t="str">
        <v>PayPal</v>
      </c>
      <c r="L67" s="3" t="str">
        <v>West</v>
      </c>
      <c r="M67" s="3" t="str">
        <v>Basic</v>
      </c>
      <c r="N67" s="3">
        <v>45215</v>
      </c>
      <c r="O67">
        <v>2699.97</v>
      </c>
    </row>
    <row r="68" spans="1:15">
      <c r="A68" s="3" t="str">
        <v>TRX0173</v>
      </c>
      <c r="B68" s="3">
        <v>45581</v>
      </c>
      <c r="C68" s="3" t="str">
        <v>October</v>
      </c>
      <c r="D68" s="3" t="str">
        <v>CUST018</v>
      </c>
      <c r="E68" s="3" t="str">
        <v>Barbara Young</v>
      </c>
      <c r="F68" s="3" t="str">
        <v>P002</v>
      </c>
      <c r="G68" s="3" t="str">
        <v>Smartphone</v>
      </c>
      <c r="H68" s="3" t="str">
        <v>Electronics</v>
      </c>
      <c r="I68" s="3">
        <v>5</v>
      </c>
      <c r="J68" s="3">
        <v>699.99</v>
      </c>
      <c r="K68" s="3" t="str">
        <v>Cash</v>
      </c>
      <c r="L68" s="3" t="str">
        <v>East</v>
      </c>
      <c r="M68" s="3" t="str">
        <v>Standard</v>
      </c>
      <c r="N68" s="3">
        <v>45008</v>
      </c>
      <c r="O68">
        <v>3499.95</v>
      </c>
    </row>
    <row r="69" spans="1:15">
      <c r="A69" s="3" t="str">
        <v>TRX0034</v>
      </c>
      <c r="B69" s="3">
        <v>45581</v>
      </c>
      <c r="C69" s="3" t="str">
        <v>October</v>
      </c>
      <c r="D69" s="3" t="str">
        <v>CUST049</v>
      </c>
      <c r="E69" s="3" t="str">
        <v>Raymond Ross</v>
      </c>
      <c r="F69" s="3" t="str">
        <v>P002</v>
      </c>
      <c r="G69" s="3" t="str">
        <v>Smartphone</v>
      </c>
      <c r="H69" s="3" t="str">
        <v>Electronics</v>
      </c>
      <c r="I69" s="3">
        <v>4</v>
      </c>
      <c r="J69" s="3">
        <v>699.99</v>
      </c>
      <c r="K69" s="3" t="str">
        <v>Credit Card</v>
      </c>
      <c r="L69" s="3" t="str">
        <v>Central</v>
      </c>
      <c r="M69" s="3" t="str">
        <v>Basic</v>
      </c>
      <c r="N69" s="3">
        <v>45385</v>
      </c>
      <c r="O69">
        <v>2799.96</v>
      </c>
    </row>
    <row r="70" spans="1:15">
      <c r="A70" s="3" t="str">
        <v>TRX0189</v>
      </c>
      <c r="B70" s="3">
        <v>45581</v>
      </c>
      <c r="C70" s="3" t="str">
        <v>October</v>
      </c>
      <c r="D70" s="3" t="str">
        <v>CUST040</v>
      </c>
      <c r="E70" s="3" t="str">
        <v>Sharon Butler</v>
      </c>
      <c r="F70" s="3" t="str">
        <v>P001</v>
      </c>
      <c r="G70" s="3" t="str">
        <v>Laptop</v>
      </c>
      <c r="H70" s="3" t="str">
        <v>Electronics</v>
      </c>
      <c r="I70" s="3">
        <v>1</v>
      </c>
      <c r="J70" s="3">
        <v>899.99</v>
      </c>
      <c r="K70" s="3" t="str">
        <v>Credit Card</v>
      </c>
      <c r="L70" s="3" t="str">
        <v>East</v>
      </c>
      <c r="M70" s="3" t="str">
        <v>Standard</v>
      </c>
      <c r="N70" s="3">
        <v>45369</v>
      </c>
      <c r="O70">
        <v>899.99</v>
      </c>
    </row>
    <row r="71" spans="1:15">
      <c r="A71" s="3" t="str">
        <v>TRX0190</v>
      </c>
      <c r="B71" s="3">
        <v>45583</v>
      </c>
      <c r="C71" s="3" t="str">
        <v>October</v>
      </c>
      <c r="D71" s="3" t="str">
        <v>CUST039</v>
      </c>
      <c r="E71" s="3" t="str">
        <v>Lawrence Reed</v>
      </c>
      <c r="F71" s="3" t="str">
        <v>P003</v>
      </c>
      <c r="G71" s="3" t="str">
        <v>Headphones</v>
      </c>
      <c r="H71" s="3" t="str">
        <v>Electronics</v>
      </c>
      <c r="I71" s="3">
        <v>2</v>
      </c>
      <c r="J71" s="3">
        <v>149.99</v>
      </c>
      <c r="K71" s="3" t="str">
        <v>Credit Card</v>
      </c>
      <c r="L71" s="3" t="str">
        <v>West</v>
      </c>
      <c r="M71" s="3" t="str">
        <v>Basic</v>
      </c>
      <c r="N71" s="3">
        <v>44916</v>
      </c>
      <c r="O71">
        <v>299.98</v>
      </c>
    </row>
    <row r="72" spans="1:15">
      <c r="A72" s="3" t="str">
        <v>TRX0079</v>
      </c>
      <c r="B72" s="3">
        <v>45586</v>
      </c>
      <c r="C72" s="3" t="str">
        <v>October</v>
      </c>
      <c r="D72" s="3" t="str">
        <v>CUST039</v>
      </c>
      <c r="E72" s="3" t="str">
        <v>Lawrence Reed</v>
      </c>
      <c r="F72" s="3" t="str">
        <v>P010</v>
      </c>
      <c r="G72" s="3" t="str">
        <v>Keyboard</v>
      </c>
      <c r="H72" s="3" t="str">
        <v>Electronics</v>
      </c>
      <c r="I72" s="3">
        <v>3</v>
      </c>
      <c r="J72" s="3">
        <v>89.99</v>
      </c>
      <c r="K72" s="3" t="str">
        <v>PayPal</v>
      </c>
      <c r="L72" s="3" t="str">
        <v>Central</v>
      </c>
      <c r="M72" s="3" t="str">
        <v>Basic</v>
      </c>
      <c r="N72" s="3">
        <v>44551</v>
      </c>
      <c r="O72">
        <v>269.97000000000003</v>
      </c>
    </row>
    <row r="73" spans="1:15">
      <c r="A73" s="3" t="str">
        <v>TRX0095</v>
      </c>
      <c r="B73" s="3">
        <v>45588</v>
      </c>
      <c r="C73" s="3" t="str">
        <v>October</v>
      </c>
      <c r="D73" s="3" t="str">
        <v>CUST046</v>
      </c>
      <c r="E73" s="3" t="str">
        <v>Kathleen Bennett</v>
      </c>
      <c r="F73" s="3" t="str">
        <v>P003</v>
      </c>
      <c r="G73" s="3" t="str">
        <v>Headphones</v>
      </c>
      <c r="H73" s="3" t="str">
        <v>Electronics</v>
      </c>
      <c r="I73" s="3">
        <v>2</v>
      </c>
      <c r="J73" s="3">
        <v>149.99</v>
      </c>
      <c r="K73" s="3" t="str">
        <v>PayPal</v>
      </c>
      <c r="L73" s="3" t="str">
        <v>Central</v>
      </c>
      <c r="M73" s="3" t="str">
        <v>Basic</v>
      </c>
      <c r="N73" s="3">
        <v>44473</v>
      </c>
      <c r="O73">
        <v>299.98</v>
      </c>
    </row>
    <row r="74" spans="1:15">
      <c r="A74" s="3" t="str">
        <v>TRX0009</v>
      </c>
      <c r="B74" s="3">
        <v>45588</v>
      </c>
      <c r="C74" s="3" t="str">
        <v>October</v>
      </c>
      <c r="D74" s="3" t="str">
        <v>CUST004</v>
      </c>
      <c r="E74" s="3" t="str">
        <v>Sarah Davis</v>
      </c>
      <c r="F74" s="3" t="str">
        <v>P002</v>
      </c>
      <c r="G74" s="3" t="str">
        <v>Smartphone</v>
      </c>
      <c r="H74" s="3" t="str">
        <v>Electronics</v>
      </c>
      <c r="I74" s="3">
        <v>2</v>
      </c>
      <c r="J74" s="3">
        <v>699.99</v>
      </c>
      <c r="K74" s="3" t="str">
        <v>Cash</v>
      </c>
      <c r="L74" s="3" t="str">
        <v>Central</v>
      </c>
      <c r="M74" s="3" t="str">
        <v>Basic</v>
      </c>
      <c r="N74" s="3">
        <v>44992</v>
      </c>
      <c r="O74">
        <v>1399.98</v>
      </c>
    </row>
    <row r="75" spans="1:15">
      <c r="A75" s="3" t="str">
        <v>TRX0167</v>
      </c>
      <c r="B75" s="3">
        <v>45589</v>
      </c>
      <c r="C75" s="3" t="str">
        <v>October</v>
      </c>
      <c r="D75" s="3" t="str">
        <v>CUST028</v>
      </c>
      <c r="E75" s="3" t="str">
        <v>Betty Campbell</v>
      </c>
      <c r="F75" s="3" t="str">
        <v>P002</v>
      </c>
      <c r="G75" s="3" t="str">
        <v>Smartphone</v>
      </c>
      <c r="H75" s="3" t="str">
        <v>Electronics</v>
      </c>
      <c r="I75" s="3">
        <v>5</v>
      </c>
      <c r="J75" s="3">
        <v>699.99</v>
      </c>
      <c r="K75" s="3" t="str">
        <v>Cash</v>
      </c>
      <c r="L75" s="3" t="str">
        <v>North</v>
      </c>
      <c r="M75" s="3" t="str">
        <v>Premium</v>
      </c>
      <c r="N75" s="3">
        <v>44635</v>
      </c>
      <c r="O75">
        <v>3499.95</v>
      </c>
    </row>
    <row r="76" spans="1:15">
      <c r="A76" s="3" t="str">
        <v>TRX0153</v>
      </c>
      <c r="B76" s="3">
        <v>45592</v>
      </c>
      <c r="C76" s="3" t="str">
        <v>October</v>
      </c>
      <c r="D76" s="3" t="str">
        <v>CUST049</v>
      </c>
      <c r="E76" s="3" t="str">
        <v>Raymond Ross</v>
      </c>
      <c r="F76" s="3" t="str">
        <v>P010</v>
      </c>
      <c r="G76" s="3" t="str">
        <v>Keyboard</v>
      </c>
      <c r="H76" s="3" t="str">
        <v>Electronics</v>
      </c>
      <c r="I76" s="3">
        <v>3</v>
      </c>
      <c r="J76" s="3">
        <v>89.99</v>
      </c>
      <c r="K76" s="3" t="str">
        <v>Credit Card</v>
      </c>
      <c r="L76" s="3" t="str">
        <v>North</v>
      </c>
      <c r="M76" s="3" t="str">
        <v>Standard</v>
      </c>
      <c r="N76" s="3">
        <v>44615</v>
      </c>
      <c r="O76">
        <v>269.97000000000003</v>
      </c>
    </row>
    <row r="77" spans="1:15">
      <c r="A77" s="3" t="str">
        <v>TRX0057</v>
      </c>
      <c r="B77" s="3">
        <v>45597</v>
      </c>
      <c r="C77" s="3" t="str">
        <v>November</v>
      </c>
      <c r="D77" s="3" t="str">
        <v>CUST023</v>
      </c>
      <c r="E77" s="3" t="str">
        <v>Paul Baker</v>
      </c>
      <c r="F77" s="3" t="str">
        <v>P009</v>
      </c>
      <c r="G77" s="3" t="str">
        <v>Monitor</v>
      </c>
      <c r="H77" s="3" t="str">
        <v>Electronics</v>
      </c>
      <c r="I77" s="3">
        <v>5</v>
      </c>
      <c r="J77" s="3">
        <v>249.99</v>
      </c>
      <c r="K77" s="3" t="str">
        <v>Credit Card</v>
      </c>
      <c r="L77" s="3" t="str">
        <v>South</v>
      </c>
      <c r="M77" s="3" t="str">
        <v>Standard</v>
      </c>
      <c r="N77" s="3">
        <v>44881</v>
      </c>
      <c r="O77">
        <v>1249.95</v>
      </c>
    </row>
    <row r="78" spans="1:15">
      <c r="A78" s="3" t="str">
        <v>TRX0060</v>
      </c>
      <c r="B78" s="3">
        <v>45603</v>
      </c>
      <c r="C78" s="3" t="str">
        <v>November</v>
      </c>
      <c r="D78" s="3" t="str">
        <v>CUST012</v>
      </c>
      <c r="E78" s="3" t="str">
        <v>Patricia Moore</v>
      </c>
      <c r="F78" s="3" t="str">
        <v>P010</v>
      </c>
      <c r="G78" s="3" t="str">
        <v>Keyboard</v>
      </c>
      <c r="H78" s="3" t="str">
        <v>Electronics</v>
      </c>
      <c r="I78" s="3">
        <v>3</v>
      </c>
      <c r="J78" s="3">
        <v>89.99</v>
      </c>
      <c r="K78" s="3" t="str">
        <v>Credit Card</v>
      </c>
      <c r="L78" s="3" t="str">
        <v>North</v>
      </c>
      <c r="M78" s="3" t="str">
        <v>Premium</v>
      </c>
      <c r="N78" s="3">
        <v>44420</v>
      </c>
      <c r="O78">
        <v>269.97000000000003</v>
      </c>
    </row>
    <row r="79" spans="1:15">
      <c r="A79" s="3" t="str">
        <v>TRX0090</v>
      </c>
      <c r="B79" s="3">
        <v>45605</v>
      </c>
      <c r="C79" s="3" t="str">
        <v>November</v>
      </c>
      <c r="D79" s="3" t="str">
        <v>CUST020</v>
      </c>
      <c r="E79" s="3" t="str">
        <v>Margaret Wright</v>
      </c>
      <c r="F79" s="3" t="str">
        <v>P009</v>
      </c>
      <c r="G79" s="3" t="str">
        <v>Monitor</v>
      </c>
      <c r="H79" s="3" t="str">
        <v>Electronics</v>
      </c>
      <c r="I79" s="3">
        <v>1</v>
      </c>
      <c r="J79" s="3">
        <v>249.99</v>
      </c>
      <c r="K79" s="3" t="str">
        <v>Credit Card</v>
      </c>
      <c r="L79" s="3" t="str">
        <v>North</v>
      </c>
      <c r="M79" s="3" t="str">
        <v>Premium</v>
      </c>
      <c r="N79" s="3">
        <v>44828</v>
      </c>
      <c r="O79">
        <v>249.99</v>
      </c>
    </row>
    <row r="80" spans="1:15">
      <c r="A80" s="3" t="str">
        <v>TRX0035</v>
      </c>
      <c r="B80" s="3">
        <v>45607</v>
      </c>
      <c r="C80" s="3" t="str">
        <v>November</v>
      </c>
      <c r="D80" s="3" t="str">
        <v>CUST041</v>
      </c>
      <c r="E80" s="3" t="str">
        <v>Peter Richardson</v>
      </c>
      <c r="F80" s="3" t="str">
        <v>P003</v>
      </c>
      <c r="G80" s="3" t="str">
        <v>Headphones</v>
      </c>
      <c r="H80" s="3" t="str">
        <v>Electronics</v>
      </c>
      <c r="I80" s="3">
        <v>3</v>
      </c>
      <c r="J80" s="3">
        <v>149.99</v>
      </c>
      <c r="K80" s="3" t="str">
        <v>Cash</v>
      </c>
      <c r="L80" s="3" t="str">
        <v>North</v>
      </c>
      <c r="M80" s="3" t="str">
        <v>Basic</v>
      </c>
      <c r="N80" s="3">
        <v>44769</v>
      </c>
      <c r="O80">
        <v>449.97</v>
      </c>
    </row>
    <row r="81" spans="1:15">
      <c r="A81" s="3" t="str">
        <v>TRX0076</v>
      </c>
      <c r="B81" s="3">
        <v>45607</v>
      </c>
      <c r="C81" s="3" t="str">
        <v>November</v>
      </c>
      <c r="D81" s="3" t="str">
        <v>CUST012</v>
      </c>
      <c r="E81" s="3" t="str">
        <v>Patricia Moore</v>
      </c>
      <c r="F81" s="3" t="str">
        <v>P009</v>
      </c>
      <c r="G81" s="3" t="str">
        <v>Monitor</v>
      </c>
      <c r="H81" s="3" t="str">
        <v>Electronics</v>
      </c>
      <c r="I81" s="3">
        <v>4</v>
      </c>
      <c r="J81" s="3">
        <v>249.99</v>
      </c>
      <c r="K81" s="3" t="str">
        <v>Credit Card</v>
      </c>
      <c r="L81" s="3" t="str">
        <v>West</v>
      </c>
      <c r="M81" s="3" t="str">
        <v>Standard</v>
      </c>
      <c r="N81" s="3">
        <v>44659</v>
      </c>
      <c r="O81">
        <v>999.96</v>
      </c>
    </row>
    <row r="82" spans="1:15">
      <c r="A82" s="3" t="str">
        <v>TRX0033</v>
      </c>
      <c r="B82" s="3">
        <v>45613</v>
      </c>
      <c r="C82" s="3" t="str">
        <v>November</v>
      </c>
      <c r="D82" s="3" t="str">
        <v>CUST025</v>
      </c>
      <c r="E82" s="3" t="str">
        <v>Mark Carter</v>
      </c>
      <c r="F82" s="3" t="str">
        <v>P002</v>
      </c>
      <c r="G82" s="3" t="str">
        <v>Smartphone</v>
      </c>
      <c r="H82" s="3" t="str">
        <v>Electronics</v>
      </c>
      <c r="I82" s="3">
        <v>2</v>
      </c>
      <c r="J82" s="3">
        <v>699.99</v>
      </c>
      <c r="K82" s="3" t="str">
        <v>PayPal</v>
      </c>
      <c r="L82" s="3" t="str">
        <v>West</v>
      </c>
      <c r="M82" s="3" t="str">
        <v>Standard</v>
      </c>
      <c r="N82" s="3">
        <v>44770</v>
      </c>
      <c r="O82">
        <v>1399.98</v>
      </c>
    </row>
    <row r="83" spans="1:15">
      <c r="A83" s="3" t="str">
        <v>TRX0148</v>
      </c>
      <c r="B83" s="3">
        <v>45619</v>
      </c>
      <c r="C83" s="3" t="str">
        <v>November</v>
      </c>
      <c r="D83" s="3" t="str">
        <v>CUST004</v>
      </c>
      <c r="E83" s="3" t="str">
        <v>Sarah Davis</v>
      </c>
      <c r="F83" s="3" t="str">
        <v>P002</v>
      </c>
      <c r="G83" s="3" t="str">
        <v>Smartphone</v>
      </c>
      <c r="H83" s="3" t="str">
        <v>Electronics</v>
      </c>
      <c r="I83" s="3">
        <v>3</v>
      </c>
      <c r="J83" s="3">
        <v>699.99</v>
      </c>
      <c r="K83" s="3" t="str">
        <v>PayPal</v>
      </c>
      <c r="L83" s="3" t="str">
        <v>West</v>
      </c>
      <c r="M83" s="3" t="str">
        <v>Standard</v>
      </c>
      <c r="N83" s="3">
        <v>44583</v>
      </c>
      <c r="O83">
        <v>2099.9699999999998</v>
      </c>
    </row>
    <row r="84" spans="1:15">
      <c r="A84" s="3" t="str">
        <v>TRX0012</v>
      </c>
      <c r="B84" s="3">
        <v>45622</v>
      </c>
      <c r="C84" s="3" t="str">
        <v>November</v>
      </c>
      <c r="D84" s="3" t="str">
        <v>CUST045</v>
      </c>
      <c r="E84" s="3" t="str">
        <v>Douglas Watson</v>
      </c>
      <c r="F84" s="3" t="str">
        <v>P009</v>
      </c>
      <c r="G84" s="3" t="str">
        <v>Monitor</v>
      </c>
      <c r="H84" s="3" t="str">
        <v>Electronics</v>
      </c>
      <c r="I84" s="3">
        <v>5</v>
      </c>
      <c r="J84" s="3">
        <v>249.99</v>
      </c>
      <c r="K84" s="3" t="str">
        <v>Credit Card</v>
      </c>
      <c r="L84" s="3" t="str">
        <v>North</v>
      </c>
      <c r="M84" s="3" t="str">
        <v>Basic</v>
      </c>
      <c r="N84" s="3">
        <v>44873</v>
      </c>
      <c r="O84">
        <v>1249.95</v>
      </c>
    </row>
    <row r="85" spans="1:15">
      <c r="A85" s="3" t="str">
        <v>TRX0094</v>
      </c>
      <c r="B85" s="3">
        <v>45627</v>
      </c>
      <c r="C85" s="3" t="str">
        <v>December</v>
      </c>
      <c r="D85" s="3" t="str">
        <v>CUST017</v>
      </c>
      <c r="E85" s="3" t="str">
        <v>Charles Allen</v>
      </c>
      <c r="F85" s="3" t="str">
        <v>P009</v>
      </c>
      <c r="G85" s="3" t="str">
        <v>Monitor</v>
      </c>
      <c r="H85" s="3" t="str">
        <v>Electronics</v>
      </c>
      <c r="I85" s="3">
        <v>5</v>
      </c>
      <c r="J85" s="3">
        <v>249.99</v>
      </c>
      <c r="K85" s="3" t="str">
        <v>Cash</v>
      </c>
      <c r="L85" s="3" t="str">
        <v>Central</v>
      </c>
      <c r="M85" s="3" t="str">
        <v>Premium</v>
      </c>
      <c r="N85" s="3">
        <v>44485</v>
      </c>
      <c r="O85">
        <v>1249.95</v>
      </c>
    </row>
    <row r="86" spans="1:15">
      <c r="A86" s="3" t="str">
        <v>TRX0133</v>
      </c>
      <c r="B86" s="3">
        <v>45627</v>
      </c>
      <c r="C86" s="3" t="str">
        <v>December</v>
      </c>
      <c r="D86" s="3" t="str">
        <v>CUST013</v>
      </c>
      <c r="E86" s="3" t="str">
        <v>Joseph Jackson</v>
      </c>
      <c r="F86" s="3" t="str">
        <v>P003</v>
      </c>
      <c r="G86" s="3" t="str">
        <v>Headphones</v>
      </c>
      <c r="H86" s="3" t="str">
        <v>Electronics</v>
      </c>
      <c r="I86" s="3">
        <v>2</v>
      </c>
      <c r="J86" s="3">
        <v>149.99</v>
      </c>
      <c r="K86" s="3" t="str">
        <v>Cash</v>
      </c>
      <c r="L86" s="3" t="str">
        <v>South</v>
      </c>
      <c r="M86" s="3" t="str">
        <v>Premium</v>
      </c>
      <c r="N86" s="3">
        <v>44475</v>
      </c>
      <c r="O86">
        <v>299.98</v>
      </c>
    </row>
    <row r="87" spans="1:15">
      <c r="A87" s="3" t="str">
        <v>TRX0201</v>
      </c>
      <c r="B87" s="3">
        <v>45627</v>
      </c>
      <c r="C87" s="3" t="str">
        <v>December</v>
      </c>
      <c r="D87" s="3" t="str">
        <v>CUST025</v>
      </c>
      <c r="E87" s="3" t="str">
        <v>Mark Carter</v>
      </c>
      <c r="F87" s="3" t="str">
        <v>P002</v>
      </c>
      <c r="G87" s="3" t="str">
        <v>Smartphone</v>
      </c>
      <c r="H87" s="3" t="str">
        <v>Electronics</v>
      </c>
      <c r="I87" s="3">
        <v>5</v>
      </c>
      <c r="J87" s="3">
        <v>699.99</v>
      </c>
      <c r="K87" s="3" t="str">
        <v>Debit Card</v>
      </c>
      <c r="L87" s="3" t="str">
        <v>West</v>
      </c>
      <c r="M87" s="3" t="str">
        <v>Standard</v>
      </c>
      <c r="N87" s="3">
        <v>44944</v>
      </c>
      <c r="O87">
        <v>3499.95</v>
      </c>
    </row>
    <row r="88" spans="1:15">
      <c r="A88" s="3" t="str">
        <v>TRX0137</v>
      </c>
      <c r="B88" s="3">
        <v>45629</v>
      </c>
      <c r="C88" s="3" t="str">
        <v>December</v>
      </c>
      <c r="D88" s="3" t="str">
        <v>CUST011</v>
      </c>
      <c r="E88" s="3" t="str">
        <v>William White</v>
      </c>
      <c r="F88" s="3" t="str">
        <v>P009</v>
      </c>
      <c r="G88" s="3" t="str">
        <v>Monitor</v>
      </c>
      <c r="H88" s="3" t="str">
        <v>Electronics</v>
      </c>
      <c r="I88" s="3">
        <v>4</v>
      </c>
      <c r="J88" s="3">
        <v>249.99</v>
      </c>
      <c r="K88" s="3" t="str">
        <v>PayPal</v>
      </c>
      <c r="L88" s="3" t="str">
        <v>East</v>
      </c>
      <c r="M88" s="3" t="str">
        <v>Premium</v>
      </c>
      <c r="N88" s="3">
        <v>45098</v>
      </c>
      <c r="O88">
        <v>999.96</v>
      </c>
    </row>
    <row r="89" spans="1:15">
      <c r="A89" s="3" t="str">
        <v>TRX0066</v>
      </c>
      <c r="B89" s="3">
        <v>45630</v>
      </c>
      <c r="C89" s="3" t="str">
        <v>December</v>
      </c>
      <c r="D89" s="3" t="str">
        <v>CUST024</v>
      </c>
      <c r="E89" s="3" t="str">
        <v>Dorothy Nelson</v>
      </c>
      <c r="F89" s="3" t="str">
        <v>P002</v>
      </c>
      <c r="G89" s="3" t="str">
        <v>Smartphone</v>
      </c>
      <c r="H89" s="3" t="str">
        <v>Electronics</v>
      </c>
      <c r="I89" s="3">
        <v>4</v>
      </c>
      <c r="J89" s="3">
        <v>699.99</v>
      </c>
      <c r="K89" s="3" t="str">
        <v>Credit Card</v>
      </c>
      <c r="L89" s="3" t="str">
        <v>North</v>
      </c>
      <c r="M89" s="3" t="str">
        <v>Premium</v>
      </c>
      <c r="N89" s="3">
        <v>44703</v>
      </c>
      <c r="O89">
        <v>2799.96</v>
      </c>
    </row>
    <row r="90" spans="1:15">
      <c r="A90" s="3" t="str">
        <v>TRX0180</v>
      </c>
      <c r="B90" s="3">
        <v>45635</v>
      </c>
      <c r="C90" s="3" t="str">
        <v>December</v>
      </c>
      <c r="D90" s="3" t="str">
        <v>CUST036</v>
      </c>
      <c r="E90" s="3" t="str">
        <v>Nancy Collins</v>
      </c>
      <c r="F90" s="3" t="str">
        <v>P009</v>
      </c>
      <c r="G90" s="3" t="str">
        <v>Monitor</v>
      </c>
      <c r="H90" s="3" t="str">
        <v>Electronics</v>
      </c>
      <c r="I90" s="3">
        <v>2</v>
      </c>
      <c r="J90" s="3">
        <v>249.99</v>
      </c>
      <c r="K90" s="3" t="str">
        <v>Credit Card</v>
      </c>
      <c r="L90" s="3" t="str">
        <v>Central</v>
      </c>
      <c r="M90" s="3" t="str">
        <v>Premium</v>
      </c>
      <c r="N90" s="3">
        <v>44396</v>
      </c>
      <c r="O90">
        <v>499.98</v>
      </c>
    </row>
    <row r="91" spans="1:15">
      <c r="A91" s="3" t="str">
        <v>TRX0032</v>
      </c>
      <c r="B91" s="3">
        <v>45638</v>
      </c>
      <c r="C91" s="3" t="str">
        <v>December</v>
      </c>
      <c r="D91" s="3" t="str">
        <v>CUST041</v>
      </c>
      <c r="E91" s="3" t="str">
        <v>Peter Richardson</v>
      </c>
      <c r="F91" s="3" t="str">
        <v>P001</v>
      </c>
      <c r="G91" s="3" t="str">
        <v>Laptop</v>
      </c>
      <c r="H91" s="3" t="str">
        <v>Electronics</v>
      </c>
      <c r="I91" s="3">
        <v>2</v>
      </c>
      <c r="J91" s="3">
        <v>899.99</v>
      </c>
      <c r="K91" s="3" t="str">
        <v>Cash</v>
      </c>
      <c r="L91" s="3" t="str">
        <v>North</v>
      </c>
      <c r="M91" s="3" t="str">
        <v>Basic</v>
      </c>
      <c r="N91" s="3">
        <v>44406</v>
      </c>
      <c r="O91">
        <v>1799.98</v>
      </c>
    </row>
    <row r="92" spans="1:15">
      <c r="A92" s="3" t="str">
        <v>TRX0183</v>
      </c>
      <c r="B92" s="3">
        <v>45645</v>
      </c>
      <c r="C92" s="3" t="str">
        <v>December</v>
      </c>
      <c r="D92" s="3" t="str">
        <v>CUST007</v>
      </c>
      <c r="E92" s="3" t="str">
        <v>David Martinez</v>
      </c>
      <c r="F92" s="3" t="str">
        <v>P010</v>
      </c>
      <c r="G92" s="3" t="str">
        <v>Keyboard</v>
      </c>
      <c r="H92" s="3" t="str">
        <v>Electronics</v>
      </c>
      <c r="I92" s="3">
        <v>1</v>
      </c>
      <c r="J92" s="3">
        <v>89.99</v>
      </c>
      <c r="K92" s="3" t="str">
        <v>Debit Card</v>
      </c>
      <c r="L92" s="3" t="str">
        <v>Central</v>
      </c>
      <c r="M92" s="3" t="str">
        <v>Standard</v>
      </c>
      <c r="N92" s="3">
        <v>44760</v>
      </c>
      <c r="O92">
        <v>89.99</v>
      </c>
    </row>
    <row r="93" spans="1:15">
      <c r="A93" s="3" t="str">
        <v>TRX0163</v>
      </c>
      <c r="B93" s="3">
        <v>45645</v>
      </c>
      <c r="C93" s="3" t="str">
        <v>December</v>
      </c>
      <c r="D93" s="3" t="str">
        <v>CUST019</v>
      </c>
      <c r="E93" s="3" t="str">
        <v>Daniel King</v>
      </c>
      <c r="F93" s="3" t="str">
        <v>P001</v>
      </c>
      <c r="G93" s="3" t="str">
        <v>Laptop</v>
      </c>
      <c r="H93" s="3" t="str">
        <v>Electronics</v>
      </c>
      <c r="I93" s="3">
        <v>5</v>
      </c>
      <c r="J93" s="3">
        <v>899.99</v>
      </c>
      <c r="K93" s="3" t="str">
        <v>Debit Card</v>
      </c>
      <c r="L93" s="3" t="str">
        <v>East</v>
      </c>
      <c r="M93" s="3" t="str">
        <v>Standard</v>
      </c>
      <c r="N93" s="3">
        <v>44625</v>
      </c>
      <c r="O93">
        <v>4499.95</v>
      </c>
    </row>
    <row r="94" spans="1:15">
      <c r="A94" s="3" t="str">
        <v>TRX0164</v>
      </c>
      <c r="B94" s="3">
        <v>45648</v>
      </c>
      <c r="C94" s="3" t="str">
        <v>December</v>
      </c>
      <c r="D94" s="3" t="str">
        <v>CUST014</v>
      </c>
      <c r="E94" s="3" t="str">
        <v>Linda Martin</v>
      </c>
      <c r="F94" s="3" t="str">
        <v>P003</v>
      </c>
      <c r="G94" s="3" t="str">
        <v>Headphones</v>
      </c>
      <c r="H94" s="3" t="str">
        <v>Electronics</v>
      </c>
      <c r="I94" s="3">
        <v>2</v>
      </c>
      <c r="J94" s="3">
        <v>149.99</v>
      </c>
      <c r="K94" s="3" t="str">
        <v>Debit Card</v>
      </c>
      <c r="L94" s="3" t="str">
        <v>West</v>
      </c>
      <c r="M94" s="3" t="str">
        <v>Premium</v>
      </c>
      <c r="N94" s="3">
        <v>45280</v>
      </c>
      <c r="O94">
        <v>299.98</v>
      </c>
    </row>
    <row r="95" spans="1:15">
      <c r="A95" s="3" t="str">
        <v>TRX0156</v>
      </c>
      <c r="B95" s="3">
        <v>45655</v>
      </c>
      <c r="C95" s="3" t="str">
        <v>December</v>
      </c>
      <c r="D95" s="3" t="str">
        <v>CUST009</v>
      </c>
      <c r="E95" s="3" t="str">
        <v>Robert Thomas</v>
      </c>
      <c r="F95" s="3" t="str">
        <v>P010</v>
      </c>
      <c r="G95" s="3" t="str">
        <v>Keyboard</v>
      </c>
      <c r="H95" s="3" t="str">
        <v>Electronics</v>
      </c>
      <c r="I95" s="3">
        <v>1</v>
      </c>
      <c r="J95" s="3">
        <v>89.99</v>
      </c>
      <c r="K95" s="3" t="str">
        <v>Credit Card</v>
      </c>
      <c r="L95" s="3" t="str">
        <v>South</v>
      </c>
      <c r="M95" s="3" t="str">
        <v>Premium</v>
      </c>
      <c r="N95" s="3">
        <v>44591</v>
      </c>
      <c r="O95">
        <v>89.99</v>
      </c>
    </row>
    <row r="96" spans="1:15">
      <c r="A96" s="3" t="str">
        <v>TRX0207</v>
      </c>
      <c r="B96" s="3">
        <v>45657</v>
      </c>
      <c r="C96" s="3" t="str">
        <v>December</v>
      </c>
      <c r="D96" s="3" t="str">
        <v>CUST025</v>
      </c>
      <c r="E96" s="3" t="str">
        <v>Mark Carter</v>
      </c>
      <c r="F96" s="3" t="str">
        <v>P001</v>
      </c>
      <c r="G96" s="3" t="str">
        <v>Laptop</v>
      </c>
      <c r="H96" s="3" t="str">
        <v>Electronics</v>
      </c>
      <c r="I96" s="3">
        <v>1</v>
      </c>
      <c r="J96" s="3">
        <v>899.99</v>
      </c>
      <c r="K96" s="3" t="str">
        <v>PayPal</v>
      </c>
      <c r="L96" s="3" t="str">
        <v>North</v>
      </c>
      <c r="M96" s="3" t="str">
        <v>Premium</v>
      </c>
      <c r="N96" s="3">
        <v>45050</v>
      </c>
      <c r="O96">
        <v>899.99</v>
      </c>
    </row>
    <row r="97" spans="1:15">
      <c r="A97" s="3" t="str">
        <v>TRX0056</v>
      </c>
      <c r="B97" s="3">
        <v>45660</v>
      </c>
      <c r="C97" s="3" t="str">
        <v>January</v>
      </c>
      <c r="D97" s="3" t="str">
        <v>CUST019</v>
      </c>
      <c r="E97" s="3" t="str">
        <v>Daniel King</v>
      </c>
      <c r="F97" s="3" t="str">
        <v>P010</v>
      </c>
      <c r="G97" s="3" t="str">
        <v>Keyboard</v>
      </c>
      <c r="H97" s="3" t="str">
        <v>Electronics</v>
      </c>
      <c r="I97" s="3">
        <v>2</v>
      </c>
      <c r="J97" s="3">
        <v>89.99</v>
      </c>
      <c r="K97" s="3" t="str">
        <v>Credit Card</v>
      </c>
      <c r="L97" s="3" t="str">
        <v>South</v>
      </c>
      <c r="M97" s="3" t="str">
        <v>Premium</v>
      </c>
      <c r="N97" s="3">
        <v>44564</v>
      </c>
      <c r="O97">
        <v>179.98</v>
      </c>
    </row>
    <row r="98" spans="1:15">
      <c r="A98" s="3" t="str">
        <v>TRX0026</v>
      </c>
      <c r="B98" s="3">
        <v>45661</v>
      </c>
      <c r="C98" s="3" t="str">
        <v>January</v>
      </c>
      <c r="D98" s="3" t="str">
        <v>CUST037</v>
      </c>
      <c r="E98" s="3" t="str">
        <v>Arthur Edwards</v>
      </c>
      <c r="F98" s="3" t="str">
        <v>P001</v>
      </c>
      <c r="G98" s="3" t="str">
        <v>Laptop</v>
      </c>
      <c r="H98" s="3" t="str">
        <v>Electronics</v>
      </c>
      <c r="I98" s="3">
        <v>1</v>
      </c>
      <c r="J98" s="3">
        <v>899.99</v>
      </c>
      <c r="K98" s="3" t="str">
        <v>PayPal</v>
      </c>
      <c r="L98" s="3" t="str">
        <v>North</v>
      </c>
      <c r="M98" s="3" t="str">
        <v>Standard</v>
      </c>
      <c r="N98" s="3">
        <v>44752</v>
      </c>
      <c r="O98">
        <v>899.99</v>
      </c>
    </row>
    <row r="99" spans="1:15">
      <c r="A99" s="3" t="str">
        <v>TRX0237</v>
      </c>
      <c r="B99" s="3">
        <v>45663</v>
      </c>
      <c r="C99" s="3" t="str">
        <v>January</v>
      </c>
      <c r="D99" s="3" t="str">
        <v>CUST006</v>
      </c>
      <c r="E99" s="3" t="str">
        <v>Lisa Anderson</v>
      </c>
      <c r="F99" s="3" t="str">
        <v>P003</v>
      </c>
      <c r="G99" s="3" t="str">
        <v>Headphones</v>
      </c>
      <c r="H99" s="3" t="str">
        <v>Electronics</v>
      </c>
      <c r="I99" s="3">
        <v>5</v>
      </c>
      <c r="J99" s="3">
        <v>149.99</v>
      </c>
      <c r="K99" s="3" t="str">
        <v>PayPal</v>
      </c>
      <c r="L99" s="3" t="str">
        <v>East</v>
      </c>
      <c r="M99" s="3" t="str">
        <v>Premium</v>
      </c>
      <c r="N99" s="3">
        <v>44824</v>
      </c>
      <c r="O99">
        <v>749.95</v>
      </c>
    </row>
    <row r="100" spans="1:15">
      <c r="A100" s="3" t="str">
        <v>TRX0125</v>
      </c>
      <c r="B100" s="3">
        <v>45666</v>
      </c>
      <c r="C100" s="3" t="str">
        <v>January</v>
      </c>
      <c r="D100" s="3" t="str">
        <v>CUST026</v>
      </c>
      <c r="E100" s="3" t="str">
        <v>Karen Hill</v>
      </c>
      <c r="F100" s="3" t="str">
        <v>P002</v>
      </c>
      <c r="G100" s="3" t="str">
        <v>Smartphone</v>
      </c>
      <c r="H100" s="3" t="str">
        <v>Electronics</v>
      </c>
      <c r="I100" s="3">
        <v>3</v>
      </c>
      <c r="J100" s="3">
        <v>699.99</v>
      </c>
      <c r="K100" s="3" t="str">
        <v>Credit Card</v>
      </c>
      <c r="L100" s="3" t="str">
        <v>Central</v>
      </c>
      <c r="M100" s="3" t="str">
        <v>Premium</v>
      </c>
      <c r="N100" s="3">
        <v>45105</v>
      </c>
      <c r="O100">
        <v>2099.9699999999998</v>
      </c>
    </row>
    <row r="101" spans="1:15">
      <c r="A101" s="3" t="str">
        <v>TRX0243</v>
      </c>
      <c r="B101" s="3">
        <v>45667</v>
      </c>
      <c r="C101" s="3" t="str">
        <v>January</v>
      </c>
      <c r="D101" s="3" t="str">
        <v>CUST048</v>
      </c>
      <c r="E101" s="3" t="str">
        <v>Virginia Sanders</v>
      </c>
      <c r="F101" s="3" t="str">
        <v>P009</v>
      </c>
      <c r="G101" s="3" t="str">
        <v>Monitor</v>
      </c>
      <c r="H101" s="3" t="str">
        <v>Electronics</v>
      </c>
      <c r="I101" s="3">
        <v>5</v>
      </c>
      <c r="J101" s="3">
        <v>249.99</v>
      </c>
      <c r="K101" s="3" t="str">
        <v>Credit Card</v>
      </c>
      <c r="L101" s="3" t="str">
        <v>South</v>
      </c>
      <c r="M101" s="3" t="str">
        <v>Basic</v>
      </c>
      <c r="N101" s="3">
        <v>45330</v>
      </c>
      <c r="O101">
        <v>1249.95</v>
      </c>
    </row>
    <row r="102" spans="1:15">
      <c r="A102" s="3" t="str">
        <v>TRX0084</v>
      </c>
      <c r="B102" s="3">
        <v>45668</v>
      </c>
      <c r="C102" s="3" t="str">
        <v>January</v>
      </c>
      <c r="D102" s="3" t="str">
        <v>CUST031</v>
      </c>
      <c r="E102" s="3" t="str">
        <v>Steven Turner</v>
      </c>
      <c r="F102" s="3" t="str">
        <v>P003</v>
      </c>
      <c r="G102" s="3" t="str">
        <v>Headphones</v>
      </c>
      <c r="H102" s="3" t="str">
        <v>Electronics</v>
      </c>
      <c r="I102" s="3">
        <v>4</v>
      </c>
      <c r="J102" s="3">
        <v>149.99</v>
      </c>
      <c r="K102" s="3" t="str">
        <v>Debit Card</v>
      </c>
      <c r="L102" s="3" t="str">
        <v>East</v>
      </c>
      <c r="M102" s="3" t="str">
        <v>Standard</v>
      </c>
      <c r="N102" s="3">
        <v>44536</v>
      </c>
      <c r="O102">
        <v>599.96</v>
      </c>
    </row>
    <row r="103" spans="1:15">
      <c r="A103" s="3" t="str">
        <v>TRX0238</v>
      </c>
      <c r="B103" s="3">
        <v>45668</v>
      </c>
      <c r="C103" s="3" t="str">
        <v>January</v>
      </c>
      <c r="D103" s="3" t="str">
        <v>CUST038</v>
      </c>
      <c r="E103" s="3" t="str">
        <v>Michelle Rogers</v>
      </c>
      <c r="F103" s="3" t="str">
        <v>P002</v>
      </c>
      <c r="G103" s="3" t="str">
        <v>Smartphone</v>
      </c>
      <c r="H103" s="3" t="str">
        <v>Electronics</v>
      </c>
      <c r="I103" s="3">
        <v>3</v>
      </c>
      <c r="J103" s="3">
        <v>699.99</v>
      </c>
      <c r="K103" s="3" t="str">
        <v>Cash</v>
      </c>
      <c r="L103" s="3" t="str">
        <v>North</v>
      </c>
      <c r="M103" s="3" t="str">
        <v>Premium</v>
      </c>
      <c r="N103" s="3">
        <v>44602</v>
      </c>
      <c r="O103">
        <v>2099.9699999999998</v>
      </c>
    </row>
    <row r="104" spans="1:15">
      <c r="A104" s="3" t="str">
        <v>TRX0087</v>
      </c>
      <c r="B104" s="3">
        <v>45671</v>
      </c>
      <c r="C104" s="3" t="str">
        <v>January</v>
      </c>
      <c r="D104" s="3" t="str">
        <v>CUST028</v>
      </c>
      <c r="E104" s="3" t="str">
        <v>Betty Campbell</v>
      </c>
      <c r="F104" s="3" t="str">
        <v>P009</v>
      </c>
      <c r="G104" s="3" t="str">
        <v>Monitor</v>
      </c>
      <c r="H104" s="3" t="str">
        <v>Electronics</v>
      </c>
      <c r="I104" s="3">
        <v>4</v>
      </c>
      <c r="J104" s="3">
        <v>249.99</v>
      </c>
      <c r="K104" s="3" t="str">
        <v>Credit Card</v>
      </c>
      <c r="L104" s="3" t="str">
        <v>North</v>
      </c>
      <c r="M104" s="3" t="str">
        <v>Premium</v>
      </c>
      <c r="N104" s="3">
        <v>44460</v>
      </c>
      <c r="O104">
        <v>999.96</v>
      </c>
    </row>
    <row r="105" spans="1:15">
      <c r="A105" s="3" t="str">
        <v>TRX0107</v>
      </c>
      <c r="B105" s="3">
        <v>45671</v>
      </c>
      <c r="C105" s="3" t="str">
        <v>January</v>
      </c>
      <c r="D105" s="3" t="str">
        <v>CUST030</v>
      </c>
      <c r="E105" s="3" t="str">
        <v>Helen Roberts</v>
      </c>
      <c r="F105" s="3" t="str">
        <v>P003</v>
      </c>
      <c r="G105" s="3" t="str">
        <v>Headphones</v>
      </c>
      <c r="H105" s="3" t="str">
        <v>Electronics</v>
      </c>
      <c r="I105" s="3">
        <v>2</v>
      </c>
      <c r="J105" s="3">
        <v>149.99</v>
      </c>
      <c r="K105" s="3" t="str">
        <v>Cash</v>
      </c>
      <c r="L105" s="3" t="str">
        <v>North</v>
      </c>
      <c r="M105" s="3" t="str">
        <v>Standard</v>
      </c>
      <c r="N105" s="3">
        <v>44913</v>
      </c>
      <c r="O105">
        <v>299.98</v>
      </c>
    </row>
    <row r="106" spans="1:15">
      <c r="A106" s="3" t="str">
        <v>TRX0159</v>
      </c>
      <c r="B106" s="3">
        <v>45683</v>
      </c>
      <c r="C106" s="3" t="str">
        <v>January</v>
      </c>
      <c r="D106" s="3" t="str">
        <v>CUST024</v>
      </c>
      <c r="E106" s="3" t="str">
        <v>Dorothy Nelson</v>
      </c>
      <c r="F106" s="3" t="str">
        <v>P009</v>
      </c>
      <c r="G106" s="3" t="str">
        <v>Monitor</v>
      </c>
      <c r="H106" s="3" t="str">
        <v>Electronics</v>
      </c>
      <c r="I106" s="3">
        <v>4</v>
      </c>
      <c r="J106" s="3">
        <v>249.99</v>
      </c>
      <c r="K106" s="3" t="str">
        <v>Debit Card</v>
      </c>
      <c r="L106" s="3" t="str">
        <v>Central</v>
      </c>
      <c r="M106" s="3" t="str">
        <v>Premium</v>
      </c>
      <c r="N106" s="3">
        <v>45217</v>
      </c>
      <c r="O106">
        <v>999.96</v>
      </c>
    </row>
    <row r="107" spans="1:15">
      <c r="A107" s="3" t="str">
        <v>TRX0030</v>
      </c>
      <c r="B107" s="3">
        <v>45686</v>
      </c>
      <c r="C107" s="3" t="str">
        <v>January</v>
      </c>
      <c r="D107" s="3" t="str">
        <v>CUST011</v>
      </c>
      <c r="E107" s="3" t="str">
        <v>William White</v>
      </c>
      <c r="F107" s="3" t="str">
        <v>P001</v>
      </c>
      <c r="G107" s="3" t="str">
        <v>Laptop</v>
      </c>
      <c r="H107" s="3" t="str">
        <v>Electronics</v>
      </c>
      <c r="I107" s="3">
        <v>4</v>
      </c>
      <c r="J107" s="3">
        <v>899.99</v>
      </c>
      <c r="K107" s="3" t="str">
        <v>PayPal</v>
      </c>
      <c r="L107" s="3" t="str">
        <v>Central</v>
      </c>
      <c r="M107" s="3" t="str">
        <v>Basic</v>
      </c>
      <c r="N107" s="3">
        <v>44734</v>
      </c>
      <c r="O107">
        <v>3599.96</v>
      </c>
    </row>
    <row r="108" spans="1:15">
      <c r="A108" s="3" t="str">
        <v>TRX0188</v>
      </c>
      <c r="B108" s="3">
        <v>45686</v>
      </c>
      <c r="C108" s="3" t="str">
        <v>January</v>
      </c>
      <c r="D108" s="3" t="str">
        <v>CUST045</v>
      </c>
      <c r="E108" s="3" t="str">
        <v>Douglas Watson</v>
      </c>
      <c r="F108" s="3" t="str">
        <v>P002</v>
      </c>
      <c r="G108" s="3" t="str">
        <v>Smartphone</v>
      </c>
      <c r="H108" s="3" t="str">
        <v>Electronics</v>
      </c>
      <c r="I108" s="3">
        <v>2</v>
      </c>
      <c r="J108" s="3">
        <v>699.99</v>
      </c>
      <c r="K108" s="3" t="str">
        <v>Debit Card</v>
      </c>
      <c r="L108" s="3" t="str">
        <v>Central</v>
      </c>
      <c r="M108" s="3" t="str">
        <v>Premium</v>
      </c>
      <c r="N108" s="3">
        <v>44681</v>
      </c>
      <c r="O108">
        <v>1399.98</v>
      </c>
    </row>
    <row r="109" spans="1:15">
      <c r="A109" s="3" t="str">
        <v>TRX0010</v>
      </c>
      <c r="B109" s="3">
        <v>45688</v>
      </c>
      <c r="C109" s="3" t="str">
        <v>January</v>
      </c>
      <c r="D109" s="3" t="str">
        <v>CUST026</v>
      </c>
      <c r="E109" s="3" t="str">
        <v>Karen Hill</v>
      </c>
      <c r="F109" s="3" t="str">
        <v>P002</v>
      </c>
      <c r="G109" s="3" t="str">
        <v>Smartphone</v>
      </c>
      <c r="H109" s="3" t="str">
        <v>Electronics</v>
      </c>
      <c r="I109" s="3">
        <v>4</v>
      </c>
      <c r="J109" s="3">
        <v>699.99</v>
      </c>
      <c r="K109" s="3" t="str">
        <v>Debit Card</v>
      </c>
      <c r="L109" s="3" t="str">
        <v>West</v>
      </c>
      <c r="M109" s="3" t="str">
        <v>Premium</v>
      </c>
      <c r="N109" s="3">
        <v>44692</v>
      </c>
      <c r="O109">
        <v>2799.96</v>
      </c>
    </row>
    <row r="110" spans="1:15">
      <c r="A110" s="3" t="str">
        <v>TRX0069</v>
      </c>
      <c r="B110" s="3">
        <v>45688</v>
      </c>
      <c r="C110" s="3" t="str">
        <v>January</v>
      </c>
      <c r="D110" s="3" t="str">
        <v>CUST029</v>
      </c>
      <c r="E110" s="3" t="str">
        <v>Edward Mitchell</v>
      </c>
      <c r="F110" s="3" t="str">
        <v>P010</v>
      </c>
      <c r="G110" s="3" t="str">
        <v>Keyboard</v>
      </c>
      <c r="H110" s="3" t="str">
        <v>Electronics</v>
      </c>
      <c r="I110" s="3">
        <v>2</v>
      </c>
      <c r="J110" s="3">
        <v>89.99</v>
      </c>
      <c r="K110" s="3" t="str">
        <v>Debit Card</v>
      </c>
      <c r="L110" s="3" t="str">
        <v>South</v>
      </c>
      <c r="M110" s="3" t="str">
        <v>Basic</v>
      </c>
      <c r="N110" s="3">
        <v>44777</v>
      </c>
      <c r="O110">
        <v>179.98</v>
      </c>
    </row>
    <row r="111" spans="1:15">
      <c r="A111" s="3" t="str">
        <v>TRX0166</v>
      </c>
      <c r="B111" s="3">
        <v>45688</v>
      </c>
      <c r="C111" s="3" t="str">
        <v>January</v>
      </c>
      <c r="D111" s="3" t="str">
        <v>CUST003</v>
      </c>
      <c r="E111" s="3" t="str">
        <v>Michael Brown</v>
      </c>
      <c r="F111" s="3" t="str">
        <v>P010</v>
      </c>
      <c r="G111" s="3" t="str">
        <v>Keyboard</v>
      </c>
      <c r="H111" s="3" t="str">
        <v>Electronics</v>
      </c>
      <c r="I111" s="3">
        <v>3</v>
      </c>
      <c r="J111" s="3">
        <v>89.99</v>
      </c>
      <c r="K111" s="3" t="str">
        <v>Debit Card</v>
      </c>
      <c r="L111" s="3" t="str">
        <v>South</v>
      </c>
      <c r="M111" s="3" t="str">
        <v>Premium</v>
      </c>
      <c r="N111" s="3">
        <v>45307</v>
      </c>
      <c r="O111">
        <v>269.97000000000003</v>
      </c>
    </row>
    <row r="112" spans="1:15">
      <c r="A112" s="3" t="str">
        <v>TRX0196</v>
      </c>
      <c r="B112" s="3">
        <v>45704</v>
      </c>
      <c r="C112" s="3" t="str">
        <v>February</v>
      </c>
      <c r="D112" s="3" t="str">
        <v>CUST023</v>
      </c>
      <c r="E112" s="3" t="str">
        <v>Paul Baker</v>
      </c>
      <c r="F112" s="3" t="str">
        <v>P010</v>
      </c>
      <c r="G112" s="3" t="str">
        <v>Keyboard</v>
      </c>
      <c r="H112" s="3" t="str">
        <v>Electronics</v>
      </c>
      <c r="I112" s="3">
        <v>2</v>
      </c>
      <c r="J112" s="3">
        <v>89.99</v>
      </c>
      <c r="K112" s="3" t="str">
        <v>PayPal</v>
      </c>
      <c r="L112" s="3" t="str">
        <v>Central</v>
      </c>
      <c r="M112" s="3" t="str">
        <v>Basic</v>
      </c>
      <c r="N112" s="3">
        <v>45257</v>
      </c>
      <c r="O112">
        <v>179.98</v>
      </c>
    </row>
    <row r="113" spans="1:15">
      <c r="A113" s="3" t="str">
        <v>TRX0179</v>
      </c>
      <c r="B113" s="3">
        <v>45707</v>
      </c>
      <c r="C113" s="3" t="str">
        <v>February</v>
      </c>
      <c r="D113" s="3" t="str">
        <v>CUST029</v>
      </c>
      <c r="E113" s="3" t="str">
        <v>Edward Mitchell</v>
      </c>
      <c r="F113" s="3" t="str">
        <v>P002</v>
      </c>
      <c r="G113" s="3" t="str">
        <v>Smartphone</v>
      </c>
      <c r="H113" s="3" t="str">
        <v>Electronics</v>
      </c>
      <c r="I113" s="3">
        <v>5</v>
      </c>
      <c r="J113" s="3">
        <v>699.99</v>
      </c>
      <c r="K113" s="3" t="str">
        <v>PayPal</v>
      </c>
      <c r="L113" s="3" t="str">
        <v>South</v>
      </c>
      <c r="M113" s="3" t="str">
        <v>Premium</v>
      </c>
      <c r="N113" s="3">
        <v>45352</v>
      </c>
      <c r="O113">
        <v>3499.95</v>
      </c>
    </row>
    <row r="114" spans="1:15">
      <c r="A114" s="3" t="str">
        <v>TRX0214</v>
      </c>
      <c r="B114" s="3">
        <v>45708</v>
      </c>
      <c r="C114" s="3" t="str">
        <v>February</v>
      </c>
      <c r="D114" s="3" t="str">
        <v>CUST018</v>
      </c>
      <c r="E114" s="3" t="str">
        <v>Barbara Young</v>
      </c>
      <c r="F114" s="3" t="str">
        <v>P001</v>
      </c>
      <c r="G114" s="3" t="str">
        <v>Laptop</v>
      </c>
      <c r="H114" s="3" t="str">
        <v>Electronics</v>
      </c>
      <c r="I114" s="3">
        <v>3</v>
      </c>
      <c r="J114" s="3">
        <v>899.99</v>
      </c>
      <c r="K114" s="3" t="str">
        <v>Cash</v>
      </c>
      <c r="L114" s="3" t="str">
        <v>East</v>
      </c>
      <c r="M114" s="3" t="str">
        <v>Standard</v>
      </c>
      <c r="N114" s="3">
        <v>44613</v>
      </c>
      <c r="O114">
        <v>2699.97</v>
      </c>
    </row>
    <row r="115" spans="1:15">
      <c r="A115" s="3" t="str">
        <v>TRX0151</v>
      </c>
      <c r="B115" s="3">
        <v>45710</v>
      </c>
      <c r="C115" s="3" t="str">
        <v>February</v>
      </c>
      <c r="D115" s="3" t="str">
        <v>CUST040</v>
      </c>
      <c r="E115" s="3" t="str">
        <v>Sharon Butler</v>
      </c>
      <c r="F115" s="3" t="str">
        <v>P002</v>
      </c>
      <c r="G115" s="3" t="str">
        <v>Smartphone</v>
      </c>
      <c r="H115" s="3" t="str">
        <v>Electronics</v>
      </c>
      <c r="I115" s="3">
        <v>1</v>
      </c>
      <c r="J115" s="3">
        <v>699.99</v>
      </c>
      <c r="K115" s="3" t="str">
        <v>PayPal</v>
      </c>
      <c r="L115" s="3" t="str">
        <v>West</v>
      </c>
      <c r="M115" s="3" t="str">
        <v>Basic</v>
      </c>
      <c r="N115" s="3">
        <v>44934</v>
      </c>
      <c r="O115">
        <v>699.99</v>
      </c>
    </row>
    <row r="116" spans="1:15">
      <c r="A116" s="3" t="str">
        <v>TRX0047</v>
      </c>
      <c r="B116" s="3">
        <v>45711</v>
      </c>
      <c r="C116" s="3" t="str">
        <v>February</v>
      </c>
      <c r="D116" s="3" t="str">
        <v>CUST042</v>
      </c>
      <c r="E116" s="3" t="str">
        <v>Ruth Brooks</v>
      </c>
      <c r="F116" s="3" t="str">
        <v>P002</v>
      </c>
      <c r="G116" s="3" t="str">
        <v>Smartphone</v>
      </c>
      <c r="H116" s="3" t="str">
        <v>Electronics</v>
      </c>
      <c r="I116" s="3">
        <v>1</v>
      </c>
      <c r="J116" s="3">
        <v>699.99</v>
      </c>
      <c r="K116" s="3" t="str">
        <v>Cash</v>
      </c>
      <c r="L116" s="3" t="str">
        <v>North</v>
      </c>
      <c r="M116" s="3" t="str">
        <v>Premium</v>
      </c>
      <c r="N116" s="3">
        <v>44583</v>
      </c>
      <c r="O116">
        <v>699.99</v>
      </c>
    </row>
    <row r="117" spans="1:15">
      <c r="A117" s="3" t="str">
        <v>TRX0062</v>
      </c>
      <c r="B117" s="3">
        <v>45711</v>
      </c>
      <c r="C117" s="3" t="str">
        <v>February</v>
      </c>
      <c r="D117" s="3" t="str">
        <v>CUST016</v>
      </c>
      <c r="E117" s="3" t="str">
        <v>Elizabeth Hall</v>
      </c>
      <c r="F117" s="3" t="str">
        <v>P010</v>
      </c>
      <c r="G117" s="3" t="str">
        <v>Keyboard</v>
      </c>
      <c r="H117" s="3" t="str">
        <v>Electronics</v>
      </c>
      <c r="I117" s="3">
        <v>5</v>
      </c>
      <c r="J117" s="3">
        <v>89.99</v>
      </c>
      <c r="K117" s="3" t="str">
        <v>PayPal</v>
      </c>
      <c r="L117" s="3" t="str">
        <v>West</v>
      </c>
      <c r="M117" s="3" t="str">
        <v>Premium</v>
      </c>
      <c r="N117" s="3">
        <v>45140</v>
      </c>
      <c r="O117">
        <v>449.95</v>
      </c>
    </row>
    <row r="118" spans="1:15">
      <c r="A118" s="3" t="str">
        <v>TRX0226</v>
      </c>
      <c r="B118" s="3">
        <v>45720</v>
      </c>
      <c r="C118" s="3" t="str">
        <v>March</v>
      </c>
      <c r="D118" s="3" t="str">
        <v>CUST039</v>
      </c>
      <c r="E118" s="3" t="str">
        <v>Lawrence Reed</v>
      </c>
      <c r="F118" s="3" t="str">
        <v>P002</v>
      </c>
      <c r="G118" s="3" t="str">
        <v>Smartphone</v>
      </c>
      <c r="H118" s="3" t="str">
        <v>Electronics</v>
      </c>
      <c r="I118" s="3">
        <v>5</v>
      </c>
      <c r="J118" s="3">
        <v>699.99</v>
      </c>
      <c r="K118" s="3" t="str">
        <v>Debit Card</v>
      </c>
      <c r="L118" s="3" t="str">
        <v>East</v>
      </c>
      <c r="M118" s="3" t="str">
        <v>Premium</v>
      </c>
      <c r="N118" s="3">
        <v>45161</v>
      </c>
      <c r="O118">
        <v>3499.95</v>
      </c>
    </row>
    <row r="119" spans="1:15">
      <c r="A119" s="3" t="str">
        <v>TRX0233</v>
      </c>
      <c r="B119" s="3">
        <v>45723</v>
      </c>
      <c r="C119" s="3" t="str">
        <v>March</v>
      </c>
      <c r="D119" s="3" t="str">
        <v>CUST023</v>
      </c>
      <c r="E119" s="3" t="str">
        <v>Paul Baker</v>
      </c>
      <c r="F119" s="3" t="str">
        <v>P010</v>
      </c>
      <c r="G119" s="3" t="str">
        <v>Keyboard</v>
      </c>
      <c r="H119" s="3" t="str">
        <v>Electronics</v>
      </c>
      <c r="I119" s="3">
        <v>2</v>
      </c>
      <c r="J119" s="3">
        <v>89.99</v>
      </c>
      <c r="K119" s="3" t="str">
        <v>Credit Card</v>
      </c>
      <c r="L119" s="3" t="str">
        <v>West</v>
      </c>
      <c r="M119" s="3" t="str">
        <v>Premium</v>
      </c>
      <c r="N119" s="3">
        <v>45295</v>
      </c>
      <c r="O119">
        <v>179.98</v>
      </c>
    </row>
    <row r="120" spans="1:15">
      <c r="A120" s="3" t="str">
        <v>TRX0175</v>
      </c>
      <c r="B120" s="3">
        <v>45723</v>
      </c>
      <c r="C120" s="3" t="str">
        <v>March</v>
      </c>
      <c r="D120" s="3" t="str">
        <v>CUST030</v>
      </c>
      <c r="E120" s="3" t="str">
        <v>Helen Roberts</v>
      </c>
      <c r="F120" s="3" t="str">
        <v>P009</v>
      </c>
      <c r="G120" s="3" t="str">
        <v>Monitor</v>
      </c>
      <c r="H120" s="3" t="str">
        <v>Electronics</v>
      </c>
      <c r="I120" s="3">
        <v>5</v>
      </c>
      <c r="J120" s="3">
        <v>249.99</v>
      </c>
      <c r="K120" s="3" t="str">
        <v>Cash</v>
      </c>
      <c r="L120" s="3" t="str">
        <v>East</v>
      </c>
      <c r="M120" s="3" t="str">
        <v>Standard</v>
      </c>
      <c r="N120" s="3">
        <v>44540</v>
      </c>
      <c r="O120">
        <v>1249.95</v>
      </c>
    </row>
    <row r="121" spans="1:15">
      <c r="A121" s="3" t="str">
        <v>TRX0016</v>
      </c>
      <c r="B121" s="3">
        <v>45724</v>
      </c>
      <c r="C121" s="3" t="str">
        <v>March</v>
      </c>
      <c r="D121" s="3" t="str">
        <v>CUST035</v>
      </c>
      <c r="E121" s="3" t="str">
        <v>Harry Morgan</v>
      </c>
      <c r="F121" s="3" t="str">
        <v>P001</v>
      </c>
      <c r="G121" s="3" t="str">
        <v>Laptop</v>
      </c>
      <c r="H121" s="3" t="str">
        <v>Electronics</v>
      </c>
      <c r="I121" s="3">
        <v>5</v>
      </c>
      <c r="J121" s="3">
        <v>899.99</v>
      </c>
      <c r="K121" s="3" t="str">
        <v>PayPal</v>
      </c>
      <c r="L121" s="3" t="str">
        <v>East</v>
      </c>
      <c r="M121" s="3" t="str">
        <v>Premium</v>
      </c>
      <c r="N121" s="3">
        <v>45389</v>
      </c>
      <c r="O121">
        <v>4499.95</v>
      </c>
    </row>
    <row r="122" spans="1:15">
      <c r="A122" s="3" t="str">
        <v>TRX0038</v>
      </c>
      <c r="B122" s="3">
        <v>45726</v>
      </c>
      <c r="C122" s="3" t="str">
        <v>March</v>
      </c>
      <c r="D122" s="3" t="str">
        <v>CUST035</v>
      </c>
      <c r="E122" s="3" t="str">
        <v>Harry Morgan</v>
      </c>
      <c r="F122" s="3" t="str">
        <v>P009</v>
      </c>
      <c r="G122" s="3" t="str">
        <v>Monitor</v>
      </c>
      <c r="H122" s="3" t="str">
        <v>Electronics</v>
      </c>
      <c r="I122" s="3">
        <v>1</v>
      </c>
      <c r="J122" s="3">
        <v>249.99</v>
      </c>
      <c r="K122" s="3" t="str">
        <v>Cash</v>
      </c>
      <c r="L122" s="3" t="str">
        <v>North</v>
      </c>
      <c r="M122" s="3" t="str">
        <v>Standard</v>
      </c>
      <c r="N122" s="3">
        <v>45117</v>
      </c>
      <c r="O122">
        <v>249.99</v>
      </c>
    </row>
    <row r="123" spans="1:15">
      <c r="A123" s="3" t="str">
        <v>TRX0124</v>
      </c>
      <c r="B123" s="3">
        <v>45737</v>
      </c>
      <c r="C123" s="3" t="str">
        <v>March</v>
      </c>
      <c r="D123" s="3" t="str">
        <v>CUST040</v>
      </c>
      <c r="E123" s="3" t="str">
        <v>Sharon Butler</v>
      </c>
      <c r="F123" s="3" t="str">
        <v>P001</v>
      </c>
      <c r="G123" s="3" t="str">
        <v>Laptop</v>
      </c>
      <c r="H123" s="3" t="str">
        <v>Electronics</v>
      </c>
      <c r="I123" s="3">
        <v>3</v>
      </c>
      <c r="J123" s="3">
        <v>899.99</v>
      </c>
      <c r="K123" s="3" t="str">
        <v>Debit Card</v>
      </c>
      <c r="L123" s="3" t="str">
        <v>North</v>
      </c>
      <c r="M123" s="3" t="str">
        <v>Premium</v>
      </c>
      <c r="N123" s="3">
        <v>44876</v>
      </c>
      <c r="O123">
        <v>2699.97</v>
      </c>
    </row>
    <row r="124" spans="1:15">
      <c r="A124" s="3" t="str">
        <v>TRX0013</v>
      </c>
      <c r="B124" s="3">
        <v>45737</v>
      </c>
      <c r="C124" s="3" t="str">
        <v>March</v>
      </c>
      <c r="D124" s="3" t="str">
        <v>CUST024</v>
      </c>
      <c r="E124" s="3" t="str">
        <v>Dorothy Nelson</v>
      </c>
      <c r="F124" s="3" t="str">
        <v>P001</v>
      </c>
      <c r="G124" s="3" t="str">
        <v>Laptop</v>
      </c>
      <c r="H124" s="3" t="str">
        <v>Electronics</v>
      </c>
      <c r="I124" s="3">
        <v>3</v>
      </c>
      <c r="J124" s="3">
        <v>899.99</v>
      </c>
      <c r="K124" s="3" t="str">
        <v>PayPal</v>
      </c>
      <c r="L124" s="3" t="str">
        <v>North</v>
      </c>
      <c r="M124" s="3" t="str">
        <v>Basic</v>
      </c>
      <c r="N124" s="3">
        <v>44975</v>
      </c>
      <c r="O124">
        <v>2699.97</v>
      </c>
    </row>
    <row r="125" spans="1:15">
      <c r="A125" s="3" t="str">
        <v>TRX0213</v>
      </c>
      <c r="B125" s="3">
        <v>45745</v>
      </c>
      <c r="C125" s="3" t="str">
        <v>March</v>
      </c>
      <c r="D125" s="3" t="str">
        <v>CUST020</v>
      </c>
      <c r="E125" s="3" t="str">
        <v>Margaret Wright</v>
      </c>
      <c r="F125" s="3" t="str">
        <v>P010</v>
      </c>
      <c r="G125" s="3" t="str">
        <v>Keyboard</v>
      </c>
      <c r="H125" s="3" t="str">
        <v>Electronics</v>
      </c>
      <c r="I125" s="3">
        <v>5</v>
      </c>
      <c r="J125" s="3">
        <v>89.99</v>
      </c>
      <c r="K125" s="3" t="str">
        <v>PayPal</v>
      </c>
      <c r="L125" s="3" t="str">
        <v>South</v>
      </c>
      <c r="M125" s="3" t="str">
        <v>Basic</v>
      </c>
      <c r="N125" s="3">
        <v>44704</v>
      </c>
      <c r="O125">
        <v>449.95</v>
      </c>
    </row>
    <row r="126" spans="1:15">
      <c r="A126" s="3" t="str">
        <v>TRX0250</v>
      </c>
      <c r="B126" s="3">
        <v>45746</v>
      </c>
      <c r="C126" s="3" t="str">
        <v>March</v>
      </c>
      <c r="D126" s="3" t="str">
        <v>CUST026</v>
      </c>
      <c r="E126" s="3" t="str">
        <v>Karen Hill</v>
      </c>
      <c r="F126" s="3" t="str">
        <v>P010</v>
      </c>
      <c r="G126" s="3" t="str">
        <v>Keyboard</v>
      </c>
      <c r="H126" s="3" t="str">
        <v>Electronics</v>
      </c>
      <c r="I126" s="3">
        <v>2</v>
      </c>
      <c r="J126" s="3">
        <v>89.99</v>
      </c>
      <c r="K126" s="3" t="str">
        <v>Debit Card</v>
      </c>
      <c r="L126" s="3" t="str">
        <v>West</v>
      </c>
      <c r="M126" s="3" t="str">
        <v>Premium</v>
      </c>
      <c r="N126" s="3">
        <v>44522</v>
      </c>
      <c r="O126">
        <v>179.98</v>
      </c>
    </row>
    <row r="127" spans="1:15">
      <c r="A127" s="3" t="str">
        <v>TRX0068</v>
      </c>
      <c r="B127" s="3">
        <v>45748</v>
      </c>
      <c r="C127" s="3" t="str">
        <v>April</v>
      </c>
      <c r="D127" s="3" t="str">
        <v>CUST044</v>
      </c>
      <c r="E127" s="3" t="str">
        <v>Cynthia Price</v>
      </c>
      <c r="F127" s="3" t="str">
        <v>P002</v>
      </c>
      <c r="G127" s="3" t="str">
        <v>Smartphone</v>
      </c>
      <c r="H127" s="3" t="str">
        <v>Electronics</v>
      </c>
      <c r="I127" s="3">
        <v>2</v>
      </c>
      <c r="J127" s="3">
        <v>699.99</v>
      </c>
      <c r="K127" s="3" t="str">
        <v>PayPal</v>
      </c>
      <c r="L127" s="3" t="str">
        <v>North</v>
      </c>
      <c r="M127" s="3" t="str">
        <v>Standard</v>
      </c>
      <c r="N127" s="3">
        <v>44618</v>
      </c>
      <c r="O127">
        <v>1399.98</v>
      </c>
    </row>
    <row r="128" spans="1:15">
      <c r="A128" s="3" t="str">
        <v>TRX0144</v>
      </c>
      <c r="B128" s="3">
        <v>45749</v>
      </c>
      <c r="C128" s="3" t="str">
        <v>April</v>
      </c>
      <c r="D128" s="3" t="str">
        <v>CUST029</v>
      </c>
      <c r="E128" s="3" t="str">
        <v>Edward Mitchell</v>
      </c>
      <c r="F128" s="3" t="str">
        <v>P001</v>
      </c>
      <c r="G128" s="3" t="str">
        <v>Laptop</v>
      </c>
      <c r="H128" s="3" t="str">
        <v>Electronics</v>
      </c>
      <c r="I128" s="3">
        <v>3</v>
      </c>
      <c r="J128" s="3">
        <v>899.99</v>
      </c>
      <c r="K128" s="3" t="str">
        <v>Cash</v>
      </c>
      <c r="L128" s="3" t="str">
        <v>Central</v>
      </c>
      <c r="M128" s="3" t="str">
        <v>Standard</v>
      </c>
      <c r="N128" s="3">
        <v>44953</v>
      </c>
      <c r="O128">
        <v>2699.97</v>
      </c>
    </row>
    <row r="129" spans="1:15">
      <c r="A129" s="3" t="str">
        <v>TRX0116</v>
      </c>
      <c r="B129" s="3">
        <v>45756</v>
      </c>
      <c r="C129" s="3" t="str">
        <v>April</v>
      </c>
      <c r="D129" s="3" t="str">
        <v>CUST009</v>
      </c>
      <c r="E129" s="3" t="str">
        <v>Robert Thomas</v>
      </c>
      <c r="F129" s="3" t="str">
        <v>P010</v>
      </c>
      <c r="G129" s="3" t="str">
        <v>Keyboard</v>
      </c>
      <c r="H129" s="3" t="str">
        <v>Electronics</v>
      </c>
      <c r="I129" s="3">
        <v>1</v>
      </c>
      <c r="J129" s="3">
        <v>89.99</v>
      </c>
      <c r="K129" s="3" t="str">
        <v>Debit Card</v>
      </c>
      <c r="L129" s="3" t="str">
        <v>East</v>
      </c>
      <c r="M129" s="3" t="str">
        <v>Basic</v>
      </c>
      <c r="N129" s="3">
        <v>45346</v>
      </c>
      <c r="O129">
        <v>89.99</v>
      </c>
    </row>
    <row r="130" spans="1:15">
      <c r="A130" s="3" t="str">
        <v>TRX0120</v>
      </c>
      <c r="B130" s="3">
        <v>45758</v>
      </c>
      <c r="C130" s="3" t="str">
        <v>April</v>
      </c>
      <c r="D130" s="3" t="str">
        <v>CUST045</v>
      </c>
      <c r="E130" s="3" t="str">
        <v>Douglas Watson</v>
      </c>
      <c r="F130" s="3" t="str">
        <v>P002</v>
      </c>
      <c r="G130" s="3" t="str">
        <v>Smartphone</v>
      </c>
      <c r="H130" s="3" t="str">
        <v>Electronics</v>
      </c>
      <c r="I130" s="3">
        <v>3</v>
      </c>
      <c r="J130" s="3">
        <v>699.99</v>
      </c>
      <c r="K130" s="3" t="str">
        <v>PayPal</v>
      </c>
      <c r="L130" s="3" t="str">
        <v>North</v>
      </c>
      <c r="M130" s="3" t="str">
        <v>Basic</v>
      </c>
      <c r="N130" s="3">
        <v>44909</v>
      </c>
      <c r="O130">
        <v>2099.9699999999998</v>
      </c>
    </row>
    <row r="131" spans="1:15">
      <c r="A131" s="3" t="str">
        <v>TRX0103</v>
      </c>
      <c r="B131" s="3">
        <v>45758</v>
      </c>
      <c r="C131" s="3" t="str">
        <v>April</v>
      </c>
      <c r="D131" s="3" t="str">
        <v>CUST039</v>
      </c>
      <c r="E131" s="3" t="str">
        <v>Lawrence Reed</v>
      </c>
      <c r="F131" s="3" t="str">
        <v>P010</v>
      </c>
      <c r="G131" s="3" t="str">
        <v>Keyboard</v>
      </c>
      <c r="H131" s="3" t="str">
        <v>Electronics</v>
      </c>
      <c r="I131" s="3">
        <v>2</v>
      </c>
      <c r="J131" s="3">
        <v>89.99</v>
      </c>
      <c r="K131" s="3" t="str">
        <v>Debit Card</v>
      </c>
      <c r="L131" s="3" t="str">
        <v>East</v>
      </c>
      <c r="M131" s="3" t="str">
        <v>Basic</v>
      </c>
      <c r="N131" s="3">
        <v>45088</v>
      </c>
      <c r="O131">
        <v>179.98</v>
      </c>
    </row>
    <row r="132" spans="1:15">
      <c r="A132" s="3" t="str">
        <v>TRX0064</v>
      </c>
      <c r="B132" s="3">
        <v>45758</v>
      </c>
      <c r="C132" s="3" t="str">
        <v>April</v>
      </c>
      <c r="D132" s="3" t="str">
        <v>CUST031</v>
      </c>
      <c r="E132" s="3" t="str">
        <v>Steven Turner</v>
      </c>
      <c r="F132" s="3" t="str">
        <v>P010</v>
      </c>
      <c r="G132" s="3" t="str">
        <v>Keyboard</v>
      </c>
      <c r="H132" s="3" t="str">
        <v>Electronics</v>
      </c>
      <c r="I132" s="3">
        <v>3</v>
      </c>
      <c r="J132" s="3">
        <v>89.99</v>
      </c>
      <c r="K132" s="3" t="str">
        <v>Debit Card</v>
      </c>
      <c r="L132" s="3" t="str">
        <v>North</v>
      </c>
      <c r="M132" s="3" t="str">
        <v>Premium</v>
      </c>
      <c r="N132" s="3">
        <v>44878</v>
      </c>
      <c r="O132">
        <v>269.97000000000003</v>
      </c>
    </row>
    <row r="133" spans="1:15" ht="28.5">
      <c r="A133" s="31" t="s">
        <v>401</v>
      </c>
      <c r="B133" s="32"/>
      <c r="C133" s="32"/>
      <c r="D133" s="32"/>
      <c r="E133" s="32"/>
      <c r="F133" s="32"/>
    </row>
    <row r="134" spans="1:15">
      <c r="A134" t="str" cm="1">
        <f t="array" ref="A134:O168">_xlfn._xlws.FILTER('RAW DATA'!A2:O500,'RAW DATA'!O2:O500&gt;2000)</f>
        <v>TRX0135</v>
      </c>
      <c r="B134">
        <v>45405</v>
      </c>
      <c r="C134" t="str">
        <v>April</v>
      </c>
      <c r="D134" t="str">
        <v>CUST009</v>
      </c>
      <c r="E134" t="str">
        <v>Robert Thomas</v>
      </c>
      <c r="F134" t="str">
        <v>P001</v>
      </c>
      <c r="G134" t="str">
        <v>Laptop</v>
      </c>
      <c r="H134" t="str">
        <v>Electronics</v>
      </c>
      <c r="I134">
        <v>3</v>
      </c>
      <c r="J134">
        <v>899.99</v>
      </c>
      <c r="K134" t="str">
        <v>PayPal</v>
      </c>
      <c r="L134" t="str">
        <v>East</v>
      </c>
      <c r="M134" t="str">
        <v>Standard</v>
      </c>
      <c r="N134">
        <v>45299</v>
      </c>
      <c r="O134">
        <v>2699.97</v>
      </c>
    </row>
    <row r="135" spans="1:15">
      <c r="A135" t="str">
        <v>TRX0191</v>
      </c>
      <c r="B135">
        <v>45409</v>
      </c>
      <c r="C135" t="str">
        <v>April</v>
      </c>
      <c r="D135" t="str">
        <v>CUST038</v>
      </c>
      <c r="E135" t="str">
        <v>Michelle Rogers</v>
      </c>
      <c r="F135" t="str">
        <v>P002</v>
      </c>
      <c r="G135" t="str">
        <v>Smartphone</v>
      </c>
      <c r="H135" t="str">
        <v>Electronics</v>
      </c>
      <c r="I135">
        <v>3</v>
      </c>
      <c r="J135">
        <v>699.99</v>
      </c>
      <c r="K135" t="str">
        <v>Credit Card</v>
      </c>
      <c r="L135" t="str">
        <v>West</v>
      </c>
      <c r="M135" t="str">
        <v>Basic</v>
      </c>
      <c r="N135">
        <v>44577</v>
      </c>
      <c r="O135">
        <v>2099.9699999999998</v>
      </c>
    </row>
    <row r="136" spans="1:15">
      <c r="A136" t="str">
        <v>TRX0122</v>
      </c>
      <c r="B136">
        <v>45410</v>
      </c>
      <c r="C136" t="str">
        <v>April</v>
      </c>
      <c r="D136" t="str">
        <v>CUST025</v>
      </c>
      <c r="E136" t="str">
        <v>Mark Carter</v>
      </c>
      <c r="F136" t="str">
        <v>P001</v>
      </c>
      <c r="G136" t="str">
        <v>Laptop</v>
      </c>
      <c r="H136" t="str">
        <v>Electronics</v>
      </c>
      <c r="I136">
        <v>4</v>
      </c>
      <c r="J136">
        <v>899.99</v>
      </c>
      <c r="K136" t="str">
        <v>Credit Card</v>
      </c>
      <c r="L136" t="str">
        <v>West</v>
      </c>
      <c r="M136" t="str">
        <v>Standard</v>
      </c>
      <c r="N136">
        <v>45327</v>
      </c>
      <c r="O136">
        <v>3599.96</v>
      </c>
    </row>
    <row r="137" spans="1:15">
      <c r="A137" t="str">
        <v>TRX0231</v>
      </c>
      <c r="B137">
        <v>45412</v>
      </c>
      <c r="C137" t="str">
        <v>April</v>
      </c>
      <c r="D137" t="str">
        <v>CUST018</v>
      </c>
      <c r="E137" t="str">
        <v>Barbara Young</v>
      </c>
      <c r="F137" t="str">
        <v>P002</v>
      </c>
      <c r="G137" t="str">
        <v>Smartphone</v>
      </c>
      <c r="H137" t="str">
        <v>Electronics</v>
      </c>
      <c r="I137">
        <v>5</v>
      </c>
      <c r="J137">
        <v>699.99</v>
      </c>
      <c r="K137" t="str">
        <v>Cash</v>
      </c>
      <c r="L137" t="str">
        <v>West</v>
      </c>
      <c r="M137" t="str">
        <v>Basic</v>
      </c>
      <c r="N137">
        <v>45167</v>
      </c>
      <c r="O137">
        <v>3499.95</v>
      </c>
    </row>
    <row r="138" spans="1:15">
      <c r="A138" t="str">
        <v>TRX0239</v>
      </c>
      <c r="B138">
        <v>45413</v>
      </c>
      <c r="C138" t="str">
        <v>May</v>
      </c>
      <c r="D138" t="str">
        <v>CUST012</v>
      </c>
      <c r="E138" t="str">
        <v>Patricia Moore</v>
      </c>
      <c r="F138" t="str">
        <v>P002</v>
      </c>
      <c r="G138" t="str">
        <v>Smartphone</v>
      </c>
      <c r="H138" t="str">
        <v>Electronics</v>
      </c>
      <c r="I138">
        <v>4</v>
      </c>
      <c r="J138">
        <v>699.99</v>
      </c>
      <c r="K138" t="str">
        <v>Cash</v>
      </c>
      <c r="L138" t="str">
        <v>East</v>
      </c>
      <c r="M138" t="str">
        <v>Standard</v>
      </c>
      <c r="N138">
        <v>44409</v>
      </c>
      <c r="O138">
        <v>2799.96</v>
      </c>
    </row>
    <row r="139" spans="1:15">
      <c r="A139" t="str">
        <v>TRX0015</v>
      </c>
      <c r="B139">
        <v>45440</v>
      </c>
      <c r="C139" t="str">
        <v>May</v>
      </c>
      <c r="D139" t="str">
        <v>CUST008</v>
      </c>
      <c r="E139" t="str">
        <v>Jennifer Taylor</v>
      </c>
      <c r="F139" t="str">
        <v>P002</v>
      </c>
      <c r="G139" t="str">
        <v>Smartphone</v>
      </c>
      <c r="H139" t="str">
        <v>Electronics</v>
      </c>
      <c r="I139">
        <v>0</v>
      </c>
      <c r="J139">
        <v>699.99</v>
      </c>
      <c r="K139" t="str">
        <v>PayPal</v>
      </c>
      <c r="L139" t="str">
        <v>West</v>
      </c>
      <c r="M139" t="str">
        <v>Standard</v>
      </c>
      <c r="N139">
        <v>44407</v>
      </c>
      <c r="O139">
        <v>3499.95</v>
      </c>
    </row>
    <row r="140" spans="1:15">
      <c r="A140" t="str">
        <v>TRX0154</v>
      </c>
      <c r="B140">
        <v>45459</v>
      </c>
      <c r="C140" t="str">
        <v>June</v>
      </c>
      <c r="D140" t="str">
        <v>CUST023</v>
      </c>
      <c r="E140" t="str">
        <v>Paul Baker</v>
      </c>
      <c r="F140" t="str">
        <v>P001</v>
      </c>
      <c r="G140" t="str">
        <v>Laptop</v>
      </c>
      <c r="H140" t="str">
        <v>Electronics</v>
      </c>
      <c r="I140">
        <v>5</v>
      </c>
      <c r="J140">
        <v>899.99</v>
      </c>
      <c r="K140" t="str">
        <v>Credit Card</v>
      </c>
      <c r="L140" t="str">
        <v>South</v>
      </c>
      <c r="M140" t="str">
        <v>Standard</v>
      </c>
      <c r="N140">
        <v>44974</v>
      </c>
      <c r="O140">
        <v>4499.95</v>
      </c>
    </row>
    <row r="141" spans="1:15">
      <c r="A141" t="str">
        <v>TRX0044</v>
      </c>
      <c r="B141">
        <v>45459</v>
      </c>
      <c r="C141" t="str">
        <v>June</v>
      </c>
      <c r="D141" t="str">
        <v>CUST029</v>
      </c>
      <c r="E141" t="str">
        <v>Edward Mitchell</v>
      </c>
      <c r="F141" t="str">
        <v>P001</v>
      </c>
      <c r="G141" t="str">
        <v>Laptop</v>
      </c>
      <c r="H141" t="str">
        <v>Electronics</v>
      </c>
      <c r="I141">
        <v>5</v>
      </c>
      <c r="J141">
        <v>899.99</v>
      </c>
      <c r="K141" t="str">
        <v>PayPal</v>
      </c>
      <c r="L141" t="str">
        <v>East</v>
      </c>
      <c r="M141" t="str">
        <v>Premium</v>
      </c>
      <c r="N141">
        <v>45278</v>
      </c>
      <c r="O141">
        <v>4499.95</v>
      </c>
    </row>
    <row r="142" spans="1:15">
      <c r="A142" t="str">
        <v>TRX0184</v>
      </c>
      <c r="B142">
        <v>45471</v>
      </c>
      <c r="C142" t="str">
        <v>June</v>
      </c>
      <c r="D142" t="str">
        <v>CUST046</v>
      </c>
      <c r="E142" t="str">
        <v>Kathleen Bennett</v>
      </c>
      <c r="F142" t="str">
        <v>P002</v>
      </c>
      <c r="G142" t="str">
        <v>Smartphone</v>
      </c>
      <c r="H142" t="str">
        <v>Electronics</v>
      </c>
      <c r="I142">
        <v>0</v>
      </c>
      <c r="J142">
        <v>699.99</v>
      </c>
      <c r="K142" t="str">
        <v>Credit Card</v>
      </c>
      <c r="L142" t="str">
        <v>East</v>
      </c>
      <c r="M142" t="str">
        <v>Premium</v>
      </c>
      <c r="N142">
        <v>45102</v>
      </c>
      <c r="O142">
        <v>2099.9699999999998</v>
      </c>
    </row>
    <row r="143" spans="1:15">
      <c r="A143" t="str">
        <v>TRX0104</v>
      </c>
      <c r="B143">
        <v>45471</v>
      </c>
      <c r="C143" t="str">
        <v>June</v>
      </c>
      <c r="D143" t="str">
        <v>CUST012</v>
      </c>
      <c r="E143" t="str">
        <v>Patricia Moore</v>
      </c>
      <c r="F143" t="str">
        <v>P001</v>
      </c>
      <c r="G143" t="str">
        <v>Laptop</v>
      </c>
      <c r="H143" t="str">
        <v>Electronics</v>
      </c>
      <c r="I143">
        <v>0</v>
      </c>
      <c r="J143">
        <v>899.99</v>
      </c>
      <c r="K143" t="str">
        <v>Credit Card</v>
      </c>
      <c r="L143" t="str">
        <v>East</v>
      </c>
      <c r="M143" t="str">
        <v>Premium</v>
      </c>
      <c r="N143">
        <v>44993</v>
      </c>
      <c r="O143">
        <v>3599.96</v>
      </c>
    </row>
    <row r="144" spans="1:15">
      <c r="A144" t="str">
        <v>TRX0244</v>
      </c>
      <c r="B144">
        <v>45497</v>
      </c>
      <c r="C144" t="str">
        <v>July</v>
      </c>
      <c r="D144" t="str">
        <v>CUST013</v>
      </c>
      <c r="E144" t="str">
        <v>Joseph Jackson</v>
      </c>
      <c r="F144" t="str">
        <v>P001</v>
      </c>
      <c r="G144" t="str">
        <v>Laptop</v>
      </c>
      <c r="H144" t="str">
        <v>Electronics</v>
      </c>
      <c r="I144">
        <v>5</v>
      </c>
      <c r="J144">
        <v>899.99</v>
      </c>
      <c r="K144" t="str">
        <v>Debit Card</v>
      </c>
      <c r="L144" t="str">
        <v>South</v>
      </c>
      <c r="M144" t="str">
        <v>Standard</v>
      </c>
      <c r="N144">
        <v>44899</v>
      </c>
      <c r="O144">
        <v>4499.95</v>
      </c>
    </row>
    <row r="145" spans="1:15">
      <c r="A145" t="str">
        <v>TRX0249</v>
      </c>
      <c r="B145">
        <v>45504</v>
      </c>
      <c r="C145" t="str">
        <v>July</v>
      </c>
      <c r="D145" t="str">
        <v>CUST030</v>
      </c>
      <c r="E145" t="str">
        <v>Helen Roberts</v>
      </c>
      <c r="F145" t="str">
        <v>P001</v>
      </c>
      <c r="G145" t="str">
        <v>Laptop</v>
      </c>
      <c r="H145" t="str">
        <v>Electronics</v>
      </c>
      <c r="I145">
        <v>4</v>
      </c>
      <c r="J145">
        <v>899.99</v>
      </c>
      <c r="K145" t="str">
        <v>Debit Card</v>
      </c>
      <c r="L145" t="str">
        <v>South</v>
      </c>
      <c r="M145" t="str">
        <v>Standard</v>
      </c>
      <c r="N145">
        <v>44523</v>
      </c>
      <c r="O145">
        <v>3599.96</v>
      </c>
    </row>
    <row r="146" spans="1:15">
      <c r="A146" t="str">
        <v>TRX0132</v>
      </c>
      <c r="B146">
        <v>45523</v>
      </c>
      <c r="C146" t="str">
        <v>August</v>
      </c>
      <c r="D146" t="str">
        <v>CUST047</v>
      </c>
      <c r="E146" t="str">
        <v>Gerald Murphy</v>
      </c>
      <c r="F146" t="str">
        <v>P001</v>
      </c>
      <c r="G146" t="str">
        <v>Laptop</v>
      </c>
      <c r="H146" t="str">
        <v>Electronics</v>
      </c>
      <c r="I146">
        <v>5</v>
      </c>
      <c r="J146">
        <v>899.99</v>
      </c>
      <c r="K146" t="str">
        <v>Debit Card</v>
      </c>
      <c r="L146" t="str">
        <v>East</v>
      </c>
      <c r="M146" t="str">
        <v>Basic</v>
      </c>
      <c r="N146">
        <v>44526</v>
      </c>
      <c r="O146">
        <v>4499.95</v>
      </c>
    </row>
    <row r="147" spans="1:15">
      <c r="A147" t="str">
        <v>TRX0123</v>
      </c>
      <c r="B147">
        <v>45554</v>
      </c>
      <c r="C147" t="str">
        <v>September</v>
      </c>
      <c r="D147" t="str">
        <v>CUST041</v>
      </c>
      <c r="E147" t="str">
        <v>Peter Richardson</v>
      </c>
      <c r="F147" t="str">
        <v>P002</v>
      </c>
      <c r="G147" t="str">
        <v>Smartphone</v>
      </c>
      <c r="H147" t="str">
        <v>Electronics</v>
      </c>
      <c r="I147">
        <v>4</v>
      </c>
      <c r="J147">
        <v>699.99</v>
      </c>
      <c r="K147" t="str">
        <v>PayPal</v>
      </c>
      <c r="L147" t="str">
        <v>South</v>
      </c>
      <c r="M147" t="str">
        <v>Basic</v>
      </c>
      <c r="N147">
        <v>44618</v>
      </c>
      <c r="O147">
        <v>2799.96</v>
      </c>
    </row>
    <row r="148" spans="1:15">
      <c r="A148" t="str">
        <v>TRX0177</v>
      </c>
      <c r="B148">
        <v>45559</v>
      </c>
      <c r="C148" t="str">
        <v>September</v>
      </c>
      <c r="D148" t="str">
        <v>CUST032</v>
      </c>
      <c r="E148" t="str">
        <v>Sandra Phillips</v>
      </c>
      <c r="F148" t="str">
        <v>P001</v>
      </c>
      <c r="G148" t="str">
        <v>Laptop</v>
      </c>
      <c r="H148" t="str">
        <v>Electronics</v>
      </c>
      <c r="I148">
        <v>3</v>
      </c>
      <c r="J148">
        <v>899.99</v>
      </c>
      <c r="K148" t="str">
        <v>Credit Card</v>
      </c>
      <c r="L148" t="str">
        <v>North</v>
      </c>
      <c r="M148" t="str">
        <v>Standard</v>
      </c>
      <c r="N148">
        <v>45157</v>
      </c>
      <c r="O148">
        <v>2699.97</v>
      </c>
    </row>
    <row r="149" spans="1:15">
      <c r="A149" t="str">
        <v>TRX0158</v>
      </c>
      <c r="B149">
        <v>45579</v>
      </c>
      <c r="C149" t="str">
        <v>October</v>
      </c>
      <c r="D149" t="str">
        <v>CUST027</v>
      </c>
      <c r="E149" t="str">
        <v>George Adams</v>
      </c>
      <c r="F149" t="str">
        <v>P001</v>
      </c>
      <c r="G149" t="str">
        <v>Laptop</v>
      </c>
      <c r="H149" t="str">
        <v>Electronics</v>
      </c>
      <c r="I149">
        <v>3</v>
      </c>
      <c r="J149">
        <v>899.99</v>
      </c>
      <c r="K149" t="str">
        <v>PayPal</v>
      </c>
      <c r="L149" t="str">
        <v>West</v>
      </c>
      <c r="M149" t="str">
        <v>Basic</v>
      </c>
      <c r="N149">
        <v>45215</v>
      </c>
      <c r="O149">
        <v>2699.97</v>
      </c>
    </row>
    <row r="150" spans="1:15">
      <c r="A150" t="str">
        <v>TRX0173</v>
      </c>
      <c r="B150">
        <v>45581</v>
      </c>
      <c r="C150" t="str">
        <v>October</v>
      </c>
      <c r="D150" t="str">
        <v>CUST018</v>
      </c>
      <c r="E150" t="str">
        <v>Barbara Young</v>
      </c>
      <c r="F150" t="str">
        <v>P002</v>
      </c>
      <c r="G150" t="str">
        <v>Smartphone</v>
      </c>
      <c r="H150" t="str">
        <v>Electronics</v>
      </c>
      <c r="I150">
        <v>5</v>
      </c>
      <c r="J150">
        <v>699.99</v>
      </c>
      <c r="K150" t="str">
        <v>Cash</v>
      </c>
      <c r="L150" t="str">
        <v>East</v>
      </c>
      <c r="M150" t="str">
        <v>Standard</v>
      </c>
      <c r="N150">
        <v>45008</v>
      </c>
      <c r="O150">
        <v>3499.95</v>
      </c>
    </row>
    <row r="151" spans="1:15">
      <c r="A151" t="str">
        <v>TRX0034</v>
      </c>
      <c r="B151">
        <v>45581</v>
      </c>
      <c r="C151" t="str">
        <v>October</v>
      </c>
      <c r="D151" t="str">
        <v>CUST049</v>
      </c>
      <c r="E151" t="str">
        <v>Raymond Ross</v>
      </c>
      <c r="F151" t="str">
        <v>P002</v>
      </c>
      <c r="G151" t="str">
        <v>Smartphone</v>
      </c>
      <c r="H151" t="str">
        <v>Electronics</v>
      </c>
      <c r="I151">
        <v>4</v>
      </c>
      <c r="J151">
        <v>699.99</v>
      </c>
      <c r="K151" t="str">
        <v>Credit Card</v>
      </c>
      <c r="L151" t="str">
        <v>Central</v>
      </c>
      <c r="M151" t="str">
        <v>Basic</v>
      </c>
      <c r="N151">
        <v>45385</v>
      </c>
      <c r="O151">
        <v>2799.96</v>
      </c>
    </row>
    <row r="152" spans="1:15">
      <c r="A152" t="str">
        <v>TRX0167</v>
      </c>
      <c r="B152">
        <v>45589</v>
      </c>
      <c r="C152" t="str">
        <v>October</v>
      </c>
      <c r="D152" t="str">
        <v>CUST028</v>
      </c>
      <c r="E152" t="str">
        <v>Betty Campbell</v>
      </c>
      <c r="F152" t="str">
        <v>P002</v>
      </c>
      <c r="G152" t="str">
        <v>Smartphone</v>
      </c>
      <c r="H152" t="str">
        <v>Electronics</v>
      </c>
      <c r="I152">
        <v>5</v>
      </c>
      <c r="J152">
        <v>699.99</v>
      </c>
      <c r="K152" t="str">
        <v>Cash</v>
      </c>
      <c r="L152" t="str">
        <v>North</v>
      </c>
      <c r="M152" t="str">
        <v>Premium</v>
      </c>
      <c r="N152">
        <v>44635</v>
      </c>
      <c r="O152">
        <v>3499.95</v>
      </c>
    </row>
    <row r="153" spans="1:15">
      <c r="A153" t="str">
        <v>TRX0148</v>
      </c>
      <c r="B153">
        <v>45619</v>
      </c>
      <c r="C153" t="str">
        <v>November</v>
      </c>
      <c r="D153" t="str">
        <v>CUST004</v>
      </c>
      <c r="E153" t="str">
        <v>Sarah Davis</v>
      </c>
      <c r="F153" t="str">
        <v>P002</v>
      </c>
      <c r="G153" t="str">
        <v>Smartphone</v>
      </c>
      <c r="H153" t="str">
        <v>Electronics</v>
      </c>
      <c r="I153">
        <v>3</v>
      </c>
      <c r="J153">
        <v>699.99</v>
      </c>
      <c r="K153" t="str">
        <v>PayPal</v>
      </c>
      <c r="L153" t="str">
        <v>West</v>
      </c>
      <c r="M153" t="str">
        <v>Standard</v>
      </c>
      <c r="N153">
        <v>44583</v>
      </c>
      <c r="O153">
        <v>2099.9699999999998</v>
      </c>
    </row>
    <row r="154" spans="1:15">
      <c r="A154" t="str">
        <v>TRX0201</v>
      </c>
      <c r="B154">
        <v>45627</v>
      </c>
      <c r="C154" t="str">
        <v>December</v>
      </c>
      <c r="D154" t="str">
        <v>CUST025</v>
      </c>
      <c r="E154" t="str">
        <v>Mark Carter</v>
      </c>
      <c r="F154" t="str">
        <v>P002</v>
      </c>
      <c r="G154" t="str">
        <v>Smartphone</v>
      </c>
      <c r="H154" t="str">
        <v>Electronics</v>
      </c>
      <c r="I154">
        <v>5</v>
      </c>
      <c r="J154">
        <v>699.99</v>
      </c>
      <c r="K154" t="str">
        <v>Debit Card</v>
      </c>
      <c r="L154" t="str">
        <v>West</v>
      </c>
      <c r="M154" t="str">
        <v>Standard</v>
      </c>
      <c r="N154">
        <v>44944</v>
      </c>
      <c r="O154">
        <v>3499.95</v>
      </c>
    </row>
    <row r="155" spans="1:15">
      <c r="A155" t="str">
        <v>TRX0066</v>
      </c>
      <c r="B155">
        <v>45630</v>
      </c>
      <c r="C155" t="str">
        <v>December</v>
      </c>
      <c r="D155" t="str">
        <v>CUST024</v>
      </c>
      <c r="E155" t="str">
        <v>Dorothy Nelson</v>
      </c>
      <c r="F155" t="str">
        <v>P002</v>
      </c>
      <c r="G155" t="str">
        <v>Smartphone</v>
      </c>
      <c r="H155" t="str">
        <v>Electronics</v>
      </c>
      <c r="I155">
        <v>4</v>
      </c>
      <c r="J155">
        <v>699.99</v>
      </c>
      <c r="K155" t="str">
        <v>Credit Card</v>
      </c>
      <c r="L155" t="str">
        <v>North</v>
      </c>
      <c r="M155" t="str">
        <v>Premium</v>
      </c>
      <c r="N155">
        <v>44703</v>
      </c>
      <c r="O155">
        <v>2799.96</v>
      </c>
    </row>
    <row r="156" spans="1:15">
      <c r="A156" t="str">
        <v>TRX0163</v>
      </c>
      <c r="B156">
        <v>45645</v>
      </c>
      <c r="C156" t="str">
        <v>December</v>
      </c>
      <c r="D156" t="str">
        <v>CUST019</v>
      </c>
      <c r="E156" t="str">
        <v>Daniel King</v>
      </c>
      <c r="F156" t="str">
        <v>P001</v>
      </c>
      <c r="G156" t="str">
        <v>Laptop</v>
      </c>
      <c r="H156" t="str">
        <v>Electronics</v>
      </c>
      <c r="I156">
        <v>5</v>
      </c>
      <c r="J156">
        <v>899.99</v>
      </c>
      <c r="K156" t="str">
        <v>Debit Card</v>
      </c>
      <c r="L156" t="str">
        <v>East</v>
      </c>
      <c r="M156" t="str">
        <v>Standard</v>
      </c>
      <c r="N156">
        <v>44625</v>
      </c>
      <c r="O156">
        <v>4499.95</v>
      </c>
    </row>
    <row r="157" spans="1:15">
      <c r="A157" t="str">
        <v>TRX0125</v>
      </c>
      <c r="B157">
        <v>45666</v>
      </c>
      <c r="C157" t="str">
        <v>January</v>
      </c>
      <c r="D157" t="str">
        <v>CUST026</v>
      </c>
      <c r="E157" t="str">
        <v>Karen Hill</v>
      </c>
      <c r="F157" t="str">
        <v>P002</v>
      </c>
      <c r="G157" t="str">
        <v>Smartphone</v>
      </c>
      <c r="H157" t="str">
        <v>Electronics</v>
      </c>
      <c r="I157">
        <v>3</v>
      </c>
      <c r="J157">
        <v>699.99</v>
      </c>
      <c r="K157" t="str">
        <v>Credit Card</v>
      </c>
      <c r="L157" t="str">
        <v>Central</v>
      </c>
      <c r="M157" t="str">
        <v>Premium</v>
      </c>
      <c r="N157">
        <v>45105</v>
      </c>
      <c r="O157">
        <v>2099.9699999999998</v>
      </c>
    </row>
    <row r="158" spans="1:15">
      <c r="A158" t="str">
        <v>TRX0238</v>
      </c>
      <c r="B158">
        <v>45668</v>
      </c>
      <c r="C158" t="str">
        <v>January</v>
      </c>
      <c r="D158" t="str">
        <v>CUST038</v>
      </c>
      <c r="E158" t="str">
        <v>Michelle Rogers</v>
      </c>
      <c r="F158" t="str">
        <v>P002</v>
      </c>
      <c r="G158" t="str">
        <v>Smartphone</v>
      </c>
      <c r="H158" t="str">
        <v>Electronics</v>
      </c>
      <c r="I158">
        <v>3</v>
      </c>
      <c r="J158">
        <v>699.99</v>
      </c>
      <c r="K158" t="str">
        <v>Cash</v>
      </c>
      <c r="L158" t="str">
        <v>North</v>
      </c>
      <c r="M158" t="str">
        <v>Premium</v>
      </c>
      <c r="N158">
        <v>44602</v>
      </c>
      <c r="O158">
        <v>2099.9699999999998</v>
      </c>
    </row>
    <row r="159" spans="1:15">
      <c r="A159" t="str">
        <v>TRX0030</v>
      </c>
      <c r="B159">
        <v>45686</v>
      </c>
      <c r="C159" t="str">
        <v>January</v>
      </c>
      <c r="D159" t="str">
        <v>CUST011</v>
      </c>
      <c r="E159" t="str">
        <v>William White</v>
      </c>
      <c r="F159" t="str">
        <v>P001</v>
      </c>
      <c r="G159" t="str">
        <v>Laptop</v>
      </c>
      <c r="H159" t="str">
        <v>Electronics</v>
      </c>
      <c r="I159">
        <v>4</v>
      </c>
      <c r="J159">
        <v>899.99</v>
      </c>
      <c r="K159" t="str">
        <v>PayPal</v>
      </c>
      <c r="L159" t="str">
        <v>Central</v>
      </c>
      <c r="M159" t="str">
        <v>Basic</v>
      </c>
      <c r="N159">
        <v>44734</v>
      </c>
      <c r="O159">
        <v>3599.96</v>
      </c>
    </row>
    <row r="160" spans="1:15">
      <c r="A160" t="str">
        <v>TRX0010</v>
      </c>
      <c r="B160">
        <v>45688</v>
      </c>
      <c r="C160" t="str">
        <v>January</v>
      </c>
      <c r="D160" t="str">
        <v>CUST026</v>
      </c>
      <c r="E160" t="str">
        <v>Karen Hill</v>
      </c>
      <c r="F160" t="str">
        <v>P002</v>
      </c>
      <c r="G160" t="str">
        <v>Smartphone</v>
      </c>
      <c r="H160" t="str">
        <v>Electronics</v>
      </c>
      <c r="I160">
        <v>4</v>
      </c>
      <c r="J160">
        <v>699.99</v>
      </c>
      <c r="K160" t="str">
        <v>Debit Card</v>
      </c>
      <c r="L160" t="str">
        <v>West</v>
      </c>
      <c r="M160" t="str">
        <v>Premium</v>
      </c>
      <c r="N160">
        <v>44692</v>
      </c>
      <c r="O160">
        <v>2799.96</v>
      </c>
    </row>
    <row r="161" spans="1:15">
      <c r="A161" t="str">
        <v>TRX0179</v>
      </c>
      <c r="B161">
        <v>45707</v>
      </c>
      <c r="C161" t="str">
        <v>February</v>
      </c>
      <c r="D161" t="str">
        <v>CUST029</v>
      </c>
      <c r="E161" t="str">
        <v>Edward Mitchell</v>
      </c>
      <c r="F161" t="str">
        <v>P002</v>
      </c>
      <c r="G161" t="str">
        <v>Smartphone</v>
      </c>
      <c r="H161" t="str">
        <v>Electronics</v>
      </c>
      <c r="I161">
        <v>5</v>
      </c>
      <c r="J161">
        <v>699.99</v>
      </c>
      <c r="K161" t="str">
        <v>PayPal</v>
      </c>
      <c r="L161" t="str">
        <v>South</v>
      </c>
      <c r="M161" t="str">
        <v>Premium</v>
      </c>
      <c r="N161">
        <v>45352</v>
      </c>
      <c r="O161">
        <v>3499.95</v>
      </c>
    </row>
    <row r="162" spans="1:15">
      <c r="A162" t="str">
        <v>TRX0214</v>
      </c>
      <c r="B162">
        <v>45708</v>
      </c>
      <c r="C162" t="str">
        <v>February</v>
      </c>
      <c r="D162" t="str">
        <v>CUST018</v>
      </c>
      <c r="E162" t="str">
        <v>Barbara Young</v>
      </c>
      <c r="F162" t="str">
        <v>P001</v>
      </c>
      <c r="G162" t="str">
        <v>Laptop</v>
      </c>
      <c r="H162" t="str">
        <v>Electronics</v>
      </c>
      <c r="I162">
        <v>3</v>
      </c>
      <c r="J162">
        <v>899.99</v>
      </c>
      <c r="K162" t="str">
        <v>Cash</v>
      </c>
      <c r="L162" t="str">
        <v>East</v>
      </c>
      <c r="M162" t="str">
        <v>Standard</v>
      </c>
      <c r="N162">
        <v>44613</v>
      </c>
      <c r="O162">
        <v>2699.97</v>
      </c>
    </row>
    <row r="163" spans="1:15">
      <c r="A163" t="str">
        <v>TRX0226</v>
      </c>
      <c r="B163">
        <v>45720</v>
      </c>
      <c r="C163" t="str">
        <v>March</v>
      </c>
      <c r="D163" t="str">
        <v>CUST039</v>
      </c>
      <c r="E163" t="str">
        <v>Lawrence Reed</v>
      </c>
      <c r="F163" t="str">
        <v>P002</v>
      </c>
      <c r="G163" t="str">
        <v>Smartphone</v>
      </c>
      <c r="H163" t="str">
        <v>Electronics</v>
      </c>
      <c r="I163">
        <v>5</v>
      </c>
      <c r="J163">
        <v>699.99</v>
      </c>
      <c r="K163" t="str">
        <v>Debit Card</v>
      </c>
      <c r="L163" t="str">
        <v>East</v>
      </c>
      <c r="M163" t="str">
        <v>Premium</v>
      </c>
      <c r="N163">
        <v>45161</v>
      </c>
      <c r="O163">
        <v>3499.95</v>
      </c>
    </row>
    <row r="164" spans="1:15">
      <c r="A164" t="str">
        <v>TRX0016</v>
      </c>
      <c r="B164">
        <v>45724</v>
      </c>
      <c r="C164" t="str">
        <v>March</v>
      </c>
      <c r="D164" t="str">
        <v>CUST035</v>
      </c>
      <c r="E164" t="str">
        <v>Harry Morgan</v>
      </c>
      <c r="F164" t="str">
        <v>P001</v>
      </c>
      <c r="G164" t="str">
        <v>Laptop</v>
      </c>
      <c r="H164" t="str">
        <v>Electronics</v>
      </c>
      <c r="I164">
        <v>5</v>
      </c>
      <c r="J164">
        <v>899.99</v>
      </c>
      <c r="K164" t="str">
        <v>PayPal</v>
      </c>
      <c r="L164" t="str">
        <v>East</v>
      </c>
      <c r="M164" t="str">
        <v>Premium</v>
      </c>
      <c r="N164">
        <v>45389</v>
      </c>
      <c r="O164">
        <v>4499.95</v>
      </c>
    </row>
    <row r="165" spans="1:15">
      <c r="A165" t="str">
        <v>TRX0124</v>
      </c>
      <c r="B165">
        <v>45737</v>
      </c>
      <c r="C165" t="str">
        <v>March</v>
      </c>
      <c r="D165" t="str">
        <v>CUST040</v>
      </c>
      <c r="E165" t="str">
        <v>Sharon Butler</v>
      </c>
      <c r="F165" t="str">
        <v>P001</v>
      </c>
      <c r="G165" t="str">
        <v>Laptop</v>
      </c>
      <c r="H165" t="str">
        <v>Electronics</v>
      </c>
      <c r="I165">
        <v>3</v>
      </c>
      <c r="J165">
        <v>899.99</v>
      </c>
      <c r="K165" t="str">
        <v>Debit Card</v>
      </c>
      <c r="L165" t="str">
        <v>North</v>
      </c>
      <c r="M165" t="str">
        <v>Premium</v>
      </c>
      <c r="N165">
        <v>44876</v>
      </c>
      <c r="O165">
        <v>2699.97</v>
      </c>
    </row>
    <row r="166" spans="1:15">
      <c r="A166" t="str">
        <v>TRX0013</v>
      </c>
      <c r="B166">
        <v>45737</v>
      </c>
      <c r="C166" t="str">
        <v>March</v>
      </c>
      <c r="D166" t="str">
        <v>CUST024</v>
      </c>
      <c r="E166" t="str">
        <v>Dorothy Nelson</v>
      </c>
      <c r="F166" t="str">
        <v>P001</v>
      </c>
      <c r="G166" t="str">
        <v>Laptop</v>
      </c>
      <c r="H166" t="str">
        <v>Electronics</v>
      </c>
      <c r="I166">
        <v>3</v>
      </c>
      <c r="J166">
        <v>899.99</v>
      </c>
      <c r="K166" t="str">
        <v>PayPal</v>
      </c>
      <c r="L166" t="str">
        <v>North</v>
      </c>
      <c r="M166" t="str">
        <v>Basic</v>
      </c>
      <c r="N166">
        <v>44975</v>
      </c>
      <c r="O166">
        <v>2699.97</v>
      </c>
    </row>
    <row r="167" spans="1:15">
      <c r="A167" t="str">
        <v>TRX0144</v>
      </c>
      <c r="B167">
        <v>45749</v>
      </c>
      <c r="C167" t="str">
        <v>April</v>
      </c>
      <c r="D167" t="str">
        <v>CUST029</v>
      </c>
      <c r="E167" t="str">
        <v>Edward Mitchell</v>
      </c>
      <c r="F167" t="str">
        <v>P001</v>
      </c>
      <c r="G167" t="str">
        <v>Laptop</v>
      </c>
      <c r="H167" t="str">
        <v>Electronics</v>
      </c>
      <c r="I167">
        <v>3</v>
      </c>
      <c r="J167">
        <v>899.99</v>
      </c>
      <c r="K167" t="str">
        <v>Cash</v>
      </c>
      <c r="L167" t="str">
        <v>Central</v>
      </c>
      <c r="M167" t="str">
        <v>Standard</v>
      </c>
      <c r="N167">
        <v>44953</v>
      </c>
      <c r="O167">
        <v>2699.97</v>
      </c>
    </row>
    <row r="168" spans="1:15">
      <c r="A168" t="str">
        <v>TRX0120</v>
      </c>
      <c r="B168">
        <v>45758</v>
      </c>
      <c r="C168" t="str">
        <v>April</v>
      </c>
      <c r="D168" t="str">
        <v>CUST045</v>
      </c>
      <c r="E168" t="str">
        <v>Douglas Watson</v>
      </c>
      <c r="F168" t="str">
        <v>P002</v>
      </c>
      <c r="G168" t="str">
        <v>Smartphone</v>
      </c>
      <c r="H168" t="str">
        <v>Electronics</v>
      </c>
      <c r="I168">
        <v>3</v>
      </c>
      <c r="J168">
        <v>699.99</v>
      </c>
      <c r="K168" t="str">
        <v>PayPal</v>
      </c>
      <c r="L168" t="str">
        <v>North</v>
      </c>
      <c r="M168" t="str">
        <v>Basic</v>
      </c>
      <c r="N168">
        <v>44909</v>
      </c>
      <c r="O168">
        <v>2099.9699999999998</v>
      </c>
    </row>
  </sheetData>
  <mergeCells count="2">
    <mergeCell ref="A1:F1"/>
    <mergeCell ref="A133:F133"/>
  </mergeCells>
  <pageMargins left="0.7" right="0.7" top="0.75" bottom="0.75" header="0.3" footer="0.3"/>
  <pageSetup paperSize="9" orientation="portrait" horizontalDpi="300" verticalDpi="0" copies="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654B3E-EA55-4558-8FE7-77B1C0AD9B24}">
  <dimension ref="A1:I18"/>
  <sheetViews>
    <sheetView workbookViewId="0">
      <selection activeCell="C18" sqref="A16:I18"/>
    </sheetView>
  </sheetViews>
  <sheetFormatPr defaultRowHeight="21"/>
  <cols>
    <col min="1" max="1" width="7.81640625" bestFit="1" customWidth="1"/>
    <col min="2" max="2" width="12.36328125" bestFit="1" customWidth="1"/>
    <col min="3" max="3" width="13" bestFit="1" customWidth="1"/>
    <col min="4" max="4" width="12.36328125" bestFit="1" customWidth="1"/>
    <col min="5" max="5" width="11.81640625" bestFit="1" customWidth="1"/>
    <col min="6" max="6" width="12.36328125" bestFit="1" customWidth="1"/>
    <col min="7" max="7" width="11.81640625" bestFit="1" customWidth="1"/>
    <col min="8" max="8" width="12.36328125" bestFit="1" customWidth="1"/>
    <col min="9" max="9" width="11.81640625" bestFit="1" customWidth="1"/>
  </cols>
  <sheetData>
    <row r="1" spans="1:9">
      <c r="A1" t="s">
        <v>405</v>
      </c>
    </row>
    <row r="2" spans="1:9" ht="21.75" thickBot="1"/>
    <row r="3" spans="1:9">
      <c r="A3" s="6" t="s">
        <v>406</v>
      </c>
      <c r="B3" s="6"/>
    </row>
    <row r="4" spans="1:9">
      <c r="A4" t="s">
        <v>407</v>
      </c>
      <c r="B4">
        <v>0.455101238833024</v>
      </c>
    </row>
    <row r="5" spans="1:9">
      <c r="A5" t="s">
        <v>408</v>
      </c>
      <c r="B5">
        <v>0.20711713758735315</v>
      </c>
    </row>
    <row r="6" spans="1:9">
      <c r="A6" t="s">
        <v>409</v>
      </c>
      <c r="B6">
        <v>0.20392002927117311</v>
      </c>
    </row>
    <row r="7" spans="1:9">
      <c r="A7" t="s">
        <v>410</v>
      </c>
      <c r="B7">
        <v>921.18886808061325</v>
      </c>
    </row>
    <row r="8" spans="1:9" ht="21.75" thickBot="1">
      <c r="A8" s="4" t="s">
        <v>411</v>
      </c>
      <c r="B8" s="4">
        <v>250</v>
      </c>
    </row>
    <row r="10" spans="1:9" ht="21.75" thickBot="1">
      <c r="A10" t="s">
        <v>412</v>
      </c>
    </row>
    <row r="11" spans="1:9">
      <c r="A11" s="5"/>
      <c r="B11" s="5" t="s">
        <v>417</v>
      </c>
      <c r="C11" s="5" t="s">
        <v>418</v>
      </c>
      <c r="D11" s="5" t="s">
        <v>419</v>
      </c>
      <c r="E11" s="5" t="s">
        <v>420</v>
      </c>
      <c r="F11" s="5" t="s">
        <v>421</v>
      </c>
    </row>
    <row r="12" spans="1:9">
      <c r="A12" t="s">
        <v>413</v>
      </c>
      <c r="B12">
        <v>1</v>
      </c>
      <c r="C12">
        <v>54973836.644937396</v>
      </c>
      <c r="D12">
        <v>54973836.644937396</v>
      </c>
      <c r="E12">
        <v>64.782646411811612</v>
      </c>
      <c r="F12">
        <v>3.4807530818730942E-14</v>
      </c>
    </row>
    <row r="13" spans="1:9">
      <c r="A13" t="s">
        <v>414</v>
      </c>
      <c r="B13">
        <v>248</v>
      </c>
      <c r="C13">
        <v>210450054.80755907</v>
      </c>
      <c r="D13">
        <v>848588.9306756414</v>
      </c>
    </row>
    <row r="14" spans="1:9" ht="21.75" thickBot="1">
      <c r="A14" s="4" t="s">
        <v>415</v>
      </c>
      <c r="B14" s="4">
        <v>249</v>
      </c>
      <c r="C14" s="4">
        <v>265423891.45249647</v>
      </c>
      <c r="D14" s="4"/>
      <c r="E14" s="4"/>
      <c r="F14" s="4"/>
    </row>
    <row r="15" spans="1:9" ht="21.75" thickBot="1"/>
    <row r="16" spans="1:9">
      <c r="A16" s="5"/>
      <c r="B16" s="5" t="s">
        <v>422</v>
      </c>
      <c r="C16" s="5" t="s">
        <v>410</v>
      </c>
      <c r="D16" s="5" t="s">
        <v>423</v>
      </c>
      <c r="E16" s="5" t="s">
        <v>424</v>
      </c>
      <c r="F16" s="5" t="s">
        <v>425</v>
      </c>
      <c r="G16" s="5" t="s">
        <v>426</v>
      </c>
      <c r="H16" s="5" t="s">
        <v>427</v>
      </c>
      <c r="I16" s="5" t="s">
        <v>428</v>
      </c>
    </row>
    <row r="17" spans="1:9">
      <c r="A17" t="s">
        <v>416</v>
      </c>
      <c r="B17">
        <v>-140.07236284250337</v>
      </c>
      <c r="C17">
        <v>143.6500038536812</v>
      </c>
      <c r="D17">
        <v>-0.9750947377988104</v>
      </c>
      <c r="E17">
        <v>0.33046342175350252</v>
      </c>
      <c r="F17">
        <v>-423.0019130760096</v>
      </c>
      <c r="G17">
        <v>142.85718739100287</v>
      </c>
      <c r="H17">
        <v>-423.0019130760096</v>
      </c>
      <c r="I17">
        <v>142.85718739100287</v>
      </c>
    </row>
    <row r="18" spans="1:9" ht="21.75" thickBot="1">
      <c r="A18" s="4" t="s">
        <v>7</v>
      </c>
      <c r="B18" s="4">
        <v>349.94776253063065</v>
      </c>
      <c r="C18" s="4">
        <v>43.478432512345087</v>
      </c>
      <c r="D18" s="4">
        <v>8.0487667634123632</v>
      </c>
      <c r="E18" s="4">
        <v>3.4807530818732343E-14</v>
      </c>
      <c r="F18" s="4">
        <v>264.31370039649022</v>
      </c>
      <c r="G18" s="4">
        <v>435.58182466477109</v>
      </c>
      <c r="H18" s="4">
        <v>264.31370039649022</v>
      </c>
      <c r="I18" s="4">
        <v>435.58182466477109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A68959-09AC-410B-BC02-BEA43701382F}">
  <dimension ref="A1:K251"/>
  <sheetViews>
    <sheetView zoomScale="85" zoomScaleNormal="85" workbookViewId="0">
      <selection activeCell="D14" sqref="D14"/>
    </sheetView>
  </sheetViews>
  <sheetFormatPr defaultRowHeight="21"/>
  <cols>
    <col min="1" max="1" width="20.08984375" style="3" bestFit="1" customWidth="1"/>
    <col min="3" max="3" width="8.26953125" style="3" bestFit="1" customWidth="1"/>
    <col min="4" max="4" width="24.08984375" style="3" bestFit="1" customWidth="1"/>
    <col min="6" max="6" width="8.7265625" style="3"/>
    <col min="7" max="7" width="14.1796875" style="3" bestFit="1" customWidth="1"/>
    <col min="11" max="11" width="9.7265625" bestFit="1" customWidth="1"/>
  </cols>
  <sheetData>
    <row r="1" spans="1:11" ht="32.25" thickBot="1">
      <c r="A1" s="8" t="s">
        <v>429</v>
      </c>
      <c r="C1" s="9" t="s">
        <v>5</v>
      </c>
      <c r="D1" s="10" t="s">
        <v>430</v>
      </c>
      <c r="F1" s="9" t="s">
        <v>3</v>
      </c>
      <c r="G1" s="10" t="s">
        <v>431</v>
      </c>
      <c r="I1" s="1" t="s">
        <v>3</v>
      </c>
      <c r="J1" s="1" t="s">
        <v>11</v>
      </c>
      <c r="K1" s="12" t="s">
        <v>432</v>
      </c>
    </row>
    <row r="2" spans="1:11" ht="21.75" thickBot="1">
      <c r="A2" s="3" t="str">
        <f>IF(SUMIFS('RAW DATA'!O:O,'RAW DATA'!D:D,'RAW DATA'!D2)&gt;5000,"High Value","Normal")</f>
        <v>High Value</v>
      </c>
      <c r="C2" s="11" t="s">
        <v>18</v>
      </c>
      <c r="D2" s="3">
        <f>COUNTIF(C:C,C2)</f>
        <v>26</v>
      </c>
      <c r="F2" s="11" t="s">
        <v>16</v>
      </c>
      <c r="G2" s="3">
        <f>COUNTIF(F:F,F2)</f>
        <v>8</v>
      </c>
      <c r="I2" s="2" t="s">
        <v>16</v>
      </c>
      <c r="J2" s="2" t="s">
        <v>22</v>
      </c>
      <c r="K2" t="str">
        <f>IF(COUNTIF($J$2:$J$251,I2)&gt;0,"Match","Non Match")</f>
        <v>Non Match</v>
      </c>
    </row>
    <row r="3" spans="1:11" ht="32.25" thickBot="1">
      <c r="A3" s="3" t="str">
        <f>IF(SUMIFS('RAW DATA'!O:O,'RAW DATA'!D:D,'RAW DATA'!D3)&gt;5000,"High Value","Normal")</f>
        <v>High Value</v>
      </c>
      <c r="C3" s="11" t="s">
        <v>18</v>
      </c>
      <c r="D3" s="3">
        <f t="shared" ref="D3:D66" si="0">COUNTIF(C:C,C3)</f>
        <v>26</v>
      </c>
      <c r="F3" s="11" t="s">
        <v>25</v>
      </c>
      <c r="G3" s="3">
        <f t="shared" ref="G3:G66" si="1">COUNTIF(F:F,F3)</f>
        <v>5</v>
      </c>
      <c r="I3" s="2" t="s">
        <v>25</v>
      </c>
      <c r="J3" s="2" t="s">
        <v>27</v>
      </c>
      <c r="K3" t="str">
        <f t="shared" ref="K3:K66" si="2">IF(COUNTIF(J3:J252,I3)&gt;0,"Match","Non Match")</f>
        <v>Non Match</v>
      </c>
    </row>
    <row r="4" spans="1:11" ht="21.75" thickBot="1">
      <c r="A4" s="3" t="str">
        <f>IF(SUMIFS('RAW DATA'!O:O,'RAW DATA'!D:D,'RAW DATA'!D4)&gt;5000,"High Value","Normal")</f>
        <v>Normal</v>
      </c>
      <c r="C4" s="11" t="s">
        <v>32</v>
      </c>
      <c r="D4" s="3">
        <f t="shared" si="0"/>
        <v>29</v>
      </c>
      <c r="F4" s="11" t="s">
        <v>30</v>
      </c>
      <c r="G4" s="3">
        <f t="shared" si="1"/>
        <v>6</v>
      </c>
      <c r="I4" s="2" t="s">
        <v>30</v>
      </c>
      <c r="J4" s="2" t="s">
        <v>36</v>
      </c>
      <c r="K4" t="str">
        <f t="shared" si="2"/>
        <v>Non Match</v>
      </c>
    </row>
    <row r="5" spans="1:11" ht="32.25" thickBot="1">
      <c r="A5" s="3" t="str">
        <f>IF(SUMIFS('RAW DATA'!O:O,'RAW DATA'!D:D,'RAW DATA'!D5)&gt;5000,"High Value","Normal")</f>
        <v>Normal</v>
      </c>
      <c r="C5" s="11" t="s">
        <v>32</v>
      </c>
      <c r="D5" s="3">
        <f t="shared" si="0"/>
        <v>29</v>
      </c>
      <c r="F5" s="11" t="s">
        <v>39</v>
      </c>
      <c r="G5" s="3">
        <f t="shared" si="1"/>
        <v>6</v>
      </c>
      <c r="I5" s="2" t="s">
        <v>39</v>
      </c>
      <c r="J5" s="2" t="s">
        <v>27</v>
      </c>
      <c r="K5" t="str">
        <f t="shared" si="2"/>
        <v>Non Match</v>
      </c>
    </row>
    <row r="6" spans="1:11" ht="32.25" thickBot="1">
      <c r="A6" s="3" t="str">
        <f>IF(SUMIFS('RAW DATA'!O:O,'RAW DATA'!D:D,'RAW DATA'!D6)&gt;5000,"High Value","Normal")</f>
        <v>High Value</v>
      </c>
      <c r="C6" s="11" t="s">
        <v>45</v>
      </c>
      <c r="D6" s="3">
        <f t="shared" si="0"/>
        <v>35</v>
      </c>
      <c r="F6" s="11" t="s">
        <v>43</v>
      </c>
      <c r="G6" s="3">
        <f t="shared" si="1"/>
        <v>9</v>
      </c>
      <c r="I6" s="2" t="s">
        <v>43</v>
      </c>
      <c r="J6" s="2" t="s">
        <v>27</v>
      </c>
      <c r="K6" t="str">
        <f t="shared" si="2"/>
        <v>Non Match</v>
      </c>
    </row>
    <row r="7" spans="1:11" ht="32.25" thickBot="1">
      <c r="A7" s="3" t="str">
        <f>IF(SUMIFS('RAW DATA'!O:O,'RAW DATA'!D:D,'RAW DATA'!D7)&gt;5000,"High Value","Normal")</f>
        <v>High Value</v>
      </c>
      <c r="C7" s="11" t="s">
        <v>32</v>
      </c>
      <c r="D7" s="3">
        <f t="shared" si="0"/>
        <v>29</v>
      </c>
      <c r="F7" s="11" t="s">
        <v>49</v>
      </c>
      <c r="G7" s="3">
        <f t="shared" si="1"/>
        <v>6</v>
      </c>
      <c r="I7" s="2" t="s">
        <v>49</v>
      </c>
      <c r="J7" s="2" t="s">
        <v>36</v>
      </c>
      <c r="K7" t="str">
        <f t="shared" si="2"/>
        <v>Non Match</v>
      </c>
    </row>
    <row r="8" spans="1:11" ht="32.25" thickBot="1">
      <c r="A8" s="3" t="str">
        <f>IF(SUMIFS('RAW DATA'!O:O,'RAW DATA'!D:D,'RAW DATA'!D8)&gt;5000,"High Value","Normal")</f>
        <v>High Value</v>
      </c>
      <c r="C8" s="11" t="s">
        <v>53</v>
      </c>
      <c r="D8" s="3">
        <f t="shared" si="0"/>
        <v>16</v>
      </c>
      <c r="F8" s="11" t="s">
        <v>49</v>
      </c>
      <c r="G8" s="3">
        <f t="shared" si="1"/>
        <v>6</v>
      </c>
      <c r="I8" s="2" t="s">
        <v>49</v>
      </c>
      <c r="J8" s="2" t="s">
        <v>36</v>
      </c>
      <c r="K8" t="str">
        <f t="shared" si="2"/>
        <v>Non Match</v>
      </c>
    </row>
    <row r="9" spans="1:11" ht="21.75" thickBot="1">
      <c r="A9" s="3" t="str">
        <f>IF(SUMIFS('RAW DATA'!O:O,'RAW DATA'!D:D,'RAW DATA'!D9)&gt;5000,"High Value","Normal")</f>
        <v>High Value</v>
      </c>
      <c r="C9" s="11" t="s">
        <v>32</v>
      </c>
      <c r="D9" s="3">
        <f t="shared" si="0"/>
        <v>29</v>
      </c>
      <c r="F9" s="11" t="s">
        <v>56</v>
      </c>
      <c r="G9" s="3">
        <f t="shared" si="1"/>
        <v>9</v>
      </c>
      <c r="I9" s="2" t="s">
        <v>56</v>
      </c>
      <c r="J9" s="2" t="s">
        <v>22</v>
      </c>
      <c r="K9" t="str">
        <f t="shared" si="2"/>
        <v>Non Match</v>
      </c>
    </row>
    <row r="10" spans="1:11" ht="32.25" thickBot="1">
      <c r="A10" s="3" t="str">
        <f>IF(SUMIFS('RAW DATA'!O:O,'RAW DATA'!D:D,'RAW DATA'!D10)&gt;5000,"High Value","Normal")</f>
        <v>Normal</v>
      </c>
      <c r="C10" s="11" t="s">
        <v>62</v>
      </c>
      <c r="D10" s="3">
        <f t="shared" si="0"/>
        <v>24</v>
      </c>
      <c r="F10" s="11" t="s">
        <v>60</v>
      </c>
      <c r="G10" s="3">
        <f t="shared" si="1"/>
        <v>5</v>
      </c>
      <c r="I10" s="2" t="s">
        <v>60</v>
      </c>
      <c r="J10" s="2" t="s">
        <v>36</v>
      </c>
      <c r="K10" t="str">
        <f t="shared" si="2"/>
        <v>Non Match</v>
      </c>
    </row>
    <row r="11" spans="1:11" ht="21.75" thickBot="1">
      <c r="A11" s="3" t="str">
        <f>IF(SUMIFS('RAW DATA'!O:O,'RAW DATA'!D:D,'RAW DATA'!D11)&gt;5000,"High Value","Normal")</f>
        <v>High Value</v>
      </c>
      <c r="C11" s="11" t="s">
        <v>32</v>
      </c>
      <c r="D11" s="3">
        <f t="shared" si="0"/>
        <v>29</v>
      </c>
      <c r="F11" s="11" t="s">
        <v>66</v>
      </c>
      <c r="G11" s="3">
        <f t="shared" si="1"/>
        <v>8</v>
      </c>
      <c r="I11" s="2" t="s">
        <v>66</v>
      </c>
      <c r="J11" s="2" t="s">
        <v>27</v>
      </c>
      <c r="K11" t="str">
        <f t="shared" si="2"/>
        <v>Non Match</v>
      </c>
    </row>
    <row r="12" spans="1:11" ht="21.75" thickBot="1">
      <c r="A12" s="3" t="str">
        <f>IF(SUMIFS('RAW DATA'!O:O,'RAW DATA'!D:D,'RAW DATA'!D12)&gt;5000,"High Value","Normal")</f>
        <v>Normal</v>
      </c>
      <c r="C12" s="11" t="s">
        <v>45</v>
      </c>
      <c r="D12" s="3">
        <f t="shared" si="0"/>
        <v>35</v>
      </c>
      <c r="F12" s="11" t="s">
        <v>69</v>
      </c>
      <c r="G12" s="3">
        <f t="shared" si="1"/>
        <v>4</v>
      </c>
      <c r="I12" s="2" t="s">
        <v>69</v>
      </c>
      <c r="J12" s="2" t="s">
        <v>36</v>
      </c>
      <c r="K12" t="str">
        <f t="shared" si="2"/>
        <v>Non Match</v>
      </c>
    </row>
    <row r="13" spans="1:11" ht="32.25" thickBot="1">
      <c r="A13" s="3" t="str">
        <f>IF(SUMIFS('RAW DATA'!O:O,'RAW DATA'!D:D,'RAW DATA'!D13)&gt;5000,"High Value","Normal")</f>
        <v>Normal</v>
      </c>
      <c r="C13" s="11" t="s">
        <v>45</v>
      </c>
      <c r="D13" s="3">
        <f t="shared" si="0"/>
        <v>35</v>
      </c>
      <c r="F13" s="11" t="s">
        <v>39</v>
      </c>
      <c r="G13" s="3">
        <f t="shared" si="1"/>
        <v>6</v>
      </c>
      <c r="I13" s="2" t="s">
        <v>39</v>
      </c>
      <c r="J13" s="2" t="s">
        <v>22</v>
      </c>
      <c r="K13" t="str">
        <f t="shared" si="2"/>
        <v>Non Match</v>
      </c>
    </row>
    <row r="14" spans="1:11" ht="32.25" thickBot="1">
      <c r="A14" s="3" t="str">
        <f>IF(SUMIFS('RAW DATA'!O:O,'RAW DATA'!D:D,'RAW DATA'!D14)&gt;5000,"High Value","Normal")</f>
        <v>High Value</v>
      </c>
      <c r="C14" s="11" t="s">
        <v>45</v>
      </c>
      <c r="D14" s="3">
        <f t="shared" si="0"/>
        <v>35</v>
      </c>
      <c r="F14" s="11" t="s">
        <v>73</v>
      </c>
      <c r="G14" s="3">
        <f t="shared" si="1"/>
        <v>5</v>
      </c>
      <c r="I14" s="2" t="s">
        <v>73</v>
      </c>
      <c r="J14" s="2" t="s">
        <v>27</v>
      </c>
      <c r="K14" t="str">
        <f t="shared" si="2"/>
        <v>Non Match</v>
      </c>
    </row>
    <row r="15" spans="1:11" ht="21.75" thickBot="1">
      <c r="A15" s="3" t="str">
        <f>IF(SUMIFS('RAW DATA'!O:O,'RAW DATA'!D:D,'RAW DATA'!D15)&gt;5000,"High Value","Normal")</f>
        <v>Normal</v>
      </c>
      <c r="C15" s="11" t="s">
        <v>32</v>
      </c>
      <c r="D15" s="3">
        <f t="shared" si="0"/>
        <v>29</v>
      </c>
      <c r="F15" s="11" t="s">
        <v>76</v>
      </c>
      <c r="G15" s="3">
        <f t="shared" si="1"/>
        <v>2</v>
      </c>
      <c r="I15" s="2" t="s">
        <v>76</v>
      </c>
      <c r="J15" s="2" t="s">
        <v>36</v>
      </c>
      <c r="K15" t="str">
        <f t="shared" si="2"/>
        <v>Non Match</v>
      </c>
    </row>
    <row r="16" spans="1:11" ht="32.25" thickBot="1">
      <c r="A16" s="3" t="str">
        <f>IF(SUMIFS('RAW DATA'!O:O,'RAW DATA'!D:D,'RAW DATA'!D16)&gt;5000,"High Value","Normal")</f>
        <v>Normal</v>
      </c>
      <c r="C16" s="11" t="s">
        <v>81</v>
      </c>
      <c r="D16" s="3">
        <f t="shared" si="0"/>
        <v>31</v>
      </c>
      <c r="F16" s="11" t="s">
        <v>79</v>
      </c>
      <c r="G16" s="3">
        <f t="shared" si="1"/>
        <v>2</v>
      </c>
      <c r="I16" s="2" t="s">
        <v>79</v>
      </c>
      <c r="J16" s="2" t="s">
        <v>22</v>
      </c>
      <c r="K16" t="str">
        <f t="shared" si="2"/>
        <v>Non Match</v>
      </c>
    </row>
    <row r="17" spans="1:11" ht="32.25" thickBot="1">
      <c r="A17" s="3" t="str">
        <f>IF(SUMIFS('RAW DATA'!O:O,'RAW DATA'!D:D,'RAW DATA'!D17)&gt;5000,"High Value","Normal")</f>
        <v>Normal</v>
      </c>
      <c r="C17" s="11" t="s">
        <v>62</v>
      </c>
      <c r="D17" s="3">
        <f t="shared" si="0"/>
        <v>24</v>
      </c>
      <c r="F17" s="11" t="s">
        <v>84</v>
      </c>
      <c r="G17" s="3">
        <f t="shared" si="1"/>
        <v>3</v>
      </c>
      <c r="I17" s="2" t="s">
        <v>84</v>
      </c>
      <c r="J17" s="2" t="s">
        <v>36</v>
      </c>
      <c r="K17" t="str">
        <f t="shared" si="2"/>
        <v>Non Match</v>
      </c>
    </row>
    <row r="18" spans="1:11" ht="21.75" thickBot="1">
      <c r="A18" s="3" t="str">
        <f>IF(SUMIFS('RAW DATA'!O:O,'RAW DATA'!D:D,'RAW DATA'!D18)&gt;5000,"High Value","Normal")</f>
        <v>High Value</v>
      </c>
      <c r="C18" s="11" t="s">
        <v>45</v>
      </c>
      <c r="D18" s="3">
        <f t="shared" si="0"/>
        <v>35</v>
      </c>
      <c r="F18" s="11" t="s">
        <v>87</v>
      </c>
      <c r="G18" s="3">
        <f t="shared" si="1"/>
        <v>12</v>
      </c>
      <c r="I18" s="2" t="s">
        <v>87</v>
      </c>
      <c r="J18" s="2" t="s">
        <v>27</v>
      </c>
      <c r="K18" t="str">
        <f t="shared" si="2"/>
        <v>Non Match</v>
      </c>
    </row>
    <row r="19" spans="1:11" ht="21.75" thickBot="1">
      <c r="A19" s="3" t="str">
        <f>IF(SUMIFS('RAW DATA'!O:O,'RAW DATA'!D:D,'RAW DATA'!D19)&gt;5000,"High Value","Normal")</f>
        <v>Normal</v>
      </c>
      <c r="C19" s="11" t="s">
        <v>81</v>
      </c>
      <c r="D19" s="3">
        <f t="shared" si="0"/>
        <v>31</v>
      </c>
      <c r="F19" s="11" t="s">
        <v>90</v>
      </c>
      <c r="G19" s="3">
        <f t="shared" si="1"/>
        <v>4</v>
      </c>
      <c r="I19" s="2" t="s">
        <v>90</v>
      </c>
      <c r="J19" s="2" t="s">
        <v>22</v>
      </c>
      <c r="K19" t="str">
        <f t="shared" si="2"/>
        <v>Non Match</v>
      </c>
    </row>
    <row r="20" spans="1:11" ht="21.75" thickBot="1">
      <c r="A20" s="3" t="str">
        <f>IF(SUMIFS('RAW DATA'!O:O,'RAW DATA'!D:D,'RAW DATA'!D20)&gt;5000,"High Value","Normal")</f>
        <v>High Value</v>
      </c>
      <c r="C20" s="11" t="s">
        <v>62</v>
      </c>
      <c r="D20" s="3">
        <f t="shared" si="0"/>
        <v>24</v>
      </c>
      <c r="F20" s="11" t="s">
        <v>87</v>
      </c>
      <c r="G20" s="3">
        <f t="shared" si="1"/>
        <v>12</v>
      </c>
      <c r="I20" s="2" t="s">
        <v>87</v>
      </c>
      <c r="J20" s="2" t="s">
        <v>36</v>
      </c>
      <c r="K20" t="str">
        <f t="shared" si="2"/>
        <v>Non Match</v>
      </c>
    </row>
    <row r="21" spans="1:11" ht="32.25" thickBot="1">
      <c r="A21" s="3" t="str">
        <f>IF(SUMIFS('RAW DATA'!O:O,'RAW DATA'!D:D,'RAW DATA'!D21)&gt;5000,"High Value","Normal")</f>
        <v>Normal</v>
      </c>
      <c r="C21" s="11" t="s">
        <v>18</v>
      </c>
      <c r="D21" s="3">
        <f t="shared" si="0"/>
        <v>26</v>
      </c>
      <c r="F21" s="11" t="s">
        <v>94</v>
      </c>
      <c r="G21" s="3">
        <f t="shared" si="1"/>
        <v>6</v>
      </c>
      <c r="I21" s="2" t="s">
        <v>94</v>
      </c>
      <c r="J21" s="2" t="s">
        <v>27</v>
      </c>
      <c r="K21" t="str">
        <f t="shared" si="2"/>
        <v>Non Match</v>
      </c>
    </row>
    <row r="22" spans="1:11" ht="21.75" thickBot="1">
      <c r="A22" s="3" t="str">
        <f>IF(SUMIFS('RAW DATA'!O:O,'RAW DATA'!D:D,'RAW DATA'!D22)&gt;5000,"High Value","Normal")</f>
        <v>High Value</v>
      </c>
      <c r="C22" s="11" t="s">
        <v>81</v>
      </c>
      <c r="D22" s="3">
        <f t="shared" si="0"/>
        <v>31</v>
      </c>
      <c r="F22" s="11" t="s">
        <v>97</v>
      </c>
      <c r="G22" s="3">
        <f t="shared" si="1"/>
        <v>5</v>
      </c>
      <c r="I22" s="2" t="s">
        <v>97</v>
      </c>
      <c r="J22" s="2" t="s">
        <v>22</v>
      </c>
      <c r="K22" t="str">
        <f t="shared" si="2"/>
        <v>Non Match</v>
      </c>
    </row>
    <row r="23" spans="1:11" ht="32.25" thickBot="1">
      <c r="A23" s="3" t="str">
        <f>IF(SUMIFS('RAW DATA'!O:O,'RAW DATA'!D:D,'RAW DATA'!D23)&gt;5000,"High Value","Normal")</f>
        <v>High Value</v>
      </c>
      <c r="C23" s="11" t="s">
        <v>81</v>
      </c>
      <c r="D23" s="3">
        <f t="shared" si="0"/>
        <v>31</v>
      </c>
      <c r="F23" s="11" t="s">
        <v>100</v>
      </c>
      <c r="G23" s="3">
        <f t="shared" si="1"/>
        <v>8</v>
      </c>
      <c r="I23" s="2" t="s">
        <v>100</v>
      </c>
      <c r="J23" s="2" t="s">
        <v>36</v>
      </c>
      <c r="K23" t="str">
        <f t="shared" si="2"/>
        <v>Non Match</v>
      </c>
    </row>
    <row r="24" spans="1:11" ht="21.75" thickBot="1">
      <c r="A24" s="3" t="str">
        <f>IF(SUMIFS('RAW DATA'!O:O,'RAW DATA'!D:D,'RAW DATA'!D24)&gt;5000,"High Value","Normal")</f>
        <v>Normal</v>
      </c>
      <c r="C24" s="11" t="s">
        <v>18</v>
      </c>
      <c r="D24" s="3">
        <f t="shared" si="0"/>
        <v>26</v>
      </c>
      <c r="F24" s="11" t="s">
        <v>103</v>
      </c>
      <c r="G24" s="3">
        <f t="shared" si="1"/>
        <v>5</v>
      </c>
      <c r="I24" s="2" t="s">
        <v>103</v>
      </c>
      <c r="J24" s="2" t="s">
        <v>36</v>
      </c>
      <c r="K24" t="str">
        <f t="shared" si="2"/>
        <v>Non Match</v>
      </c>
    </row>
    <row r="25" spans="1:11" ht="21.75" thickBot="1">
      <c r="A25" s="3" t="str">
        <f>IF(SUMIFS('RAW DATA'!O:O,'RAW DATA'!D:D,'RAW DATA'!D25)&gt;5000,"High Value","Normal")</f>
        <v>High Value</v>
      </c>
      <c r="C25" s="11" t="s">
        <v>106</v>
      </c>
      <c r="D25" s="3">
        <f t="shared" si="0"/>
        <v>26</v>
      </c>
      <c r="F25" s="11" t="s">
        <v>87</v>
      </c>
      <c r="G25" s="3">
        <f t="shared" si="1"/>
        <v>12</v>
      </c>
      <c r="I25" s="2" t="s">
        <v>87</v>
      </c>
      <c r="J25" s="2" t="s">
        <v>27</v>
      </c>
      <c r="K25" t="str">
        <f t="shared" si="2"/>
        <v>Non Match</v>
      </c>
    </row>
    <row r="26" spans="1:11" ht="21.75" thickBot="1">
      <c r="A26" s="3" t="str">
        <f>IF(SUMIFS('RAW DATA'!O:O,'RAW DATA'!D:D,'RAW DATA'!D26)&gt;5000,"High Value","Normal")</f>
        <v>Normal</v>
      </c>
      <c r="C26" s="11" t="s">
        <v>18</v>
      </c>
      <c r="D26" s="3">
        <f t="shared" si="0"/>
        <v>26</v>
      </c>
      <c r="F26" s="11" t="s">
        <v>109</v>
      </c>
      <c r="G26" s="3">
        <f t="shared" si="1"/>
        <v>6</v>
      </c>
      <c r="I26" s="2" t="s">
        <v>109</v>
      </c>
      <c r="J26" s="2" t="s">
        <v>36</v>
      </c>
      <c r="K26" t="str">
        <f t="shared" si="2"/>
        <v>Non Match</v>
      </c>
    </row>
    <row r="27" spans="1:11" ht="21.75" thickBot="1">
      <c r="A27" s="3" t="str">
        <f>IF(SUMIFS('RAW DATA'!O:O,'RAW DATA'!D:D,'RAW DATA'!D27)&gt;5000,"High Value","Normal")</f>
        <v>Normal</v>
      </c>
      <c r="C27" s="11" t="s">
        <v>106</v>
      </c>
      <c r="D27" s="3">
        <f t="shared" si="0"/>
        <v>26</v>
      </c>
      <c r="F27" s="11" t="s">
        <v>69</v>
      </c>
      <c r="G27" s="3">
        <f t="shared" si="1"/>
        <v>4</v>
      </c>
      <c r="I27" s="2" t="s">
        <v>69</v>
      </c>
      <c r="J27" s="2" t="s">
        <v>22</v>
      </c>
      <c r="K27" t="str">
        <f t="shared" si="2"/>
        <v>Non Match</v>
      </c>
    </row>
    <row r="28" spans="1:11" ht="21.75" thickBot="1">
      <c r="A28" s="3" t="str">
        <f>IF(SUMIFS('RAW DATA'!O:O,'RAW DATA'!D:D,'RAW DATA'!D28)&gt;5000,"High Value","Normal")</f>
        <v>Normal</v>
      </c>
      <c r="C28" s="11" t="s">
        <v>115</v>
      </c>
      <c r="D28" s="3">
        <f t="shared" si="0"/>
        <v>14</v>
      </c>
      <c r="F28" s="11" t="s">
        <v>113</v>
      </c>
      <c r="G28" s="3">
        <f t="shared" si="1"/>
        <v>4</v>
      </c>
      <c r="I28" s="2" t="s">
        <v>113</v>
      </c>
      <c r="J28" s="2" t="s">
        <v>27</v>
      </c>
      <c r="K28" t="str">
        <f t="shared" si="2"/>
        <v>Non Match</v>
      </c>
    </row>
    <row r="29" spans="1:11" ht="32.25" thickBot="1">
      <c r="A29" s="3" t="str">
        <f>IF(SUMIFS('RAW DATA'!O:O,'RAW DATA'!D:D,'RAW DATA'!D29)&gt;5000,"High Value","Normal")</f>
        <v>High Value</v>
      </c>
      <c r="C29" s="11" t="s">
        <v>118</v>
      </c>
      <c r="D29" s="3">
        <f t="shared" si="0"/>
        <v>34</v>
      </c>
      <c r="F29" s="11" t="s">
        <v>100</v>
      </c>
      <c r="G29" s="3">
        <f t="shared" si="1"/>
        <v>8</v>
      </c>
      <c r="I29" s="2" t="s">
        <v>100</v>
      </c>
      <c r="J29" s="2" t="s">
        <v>27</v>
      </c>
      <c r="K29" t="str">
        <f t="shared" si="2"/>
        <v>Non Match</v>
      </c>
    </row>
    <row r="30" spans="1:11" ht="21.75" thickBot="1">
      <c r="A30" s="3" t="str">
        <f>IF(SUMIFS('RAW DATA'!O:O,'RAW DATA'!D:D,'RAW DATA'!D30)&gt;5000,"High Value","Normal")</f>
        <v>High Value</v>
      </c>
      <c r="C30" s="11" t="s">
        <v>32</v>
      </c>
      <c r="D30" s="3">
        <f t="shared" si="0"/>
        <v>29</v>
      </c>
      <c r="F30" s="11" t="s">
        <v>121</v>
      </c>
      <c r="G30" s="3">
        <f t="shared" si="1"/>
        <v>7</v>
      </c>
      <c r="I30" s="2" t="s">
        <v>121</v>
      </c>
      <c r="J30" s="2" t="s">
        <v>36</v>
      </c>
      <c r="K30" t="str">
        <f t="shared" si="2"/>
        <v>Non Match</v>
      </c>
    </row>
    <row r="31" spans="1:11" ht="32.25" thickBot="1">
      <c r="A31" s="3" t="str">
        <f>IF(SUMIFS('RAW DATA'!O:O,'RAW DATA'!D:D,'RAW DATA'!D31)&gt;5000,"High Value","Normal")</f>
        <v>High Value</v>
      </c>
      <c r="C31" s="11" t="s">
        <v>32</v>
      </c>
      <c r="D31" s="3">
        <f t="shared" si="0"/>
        <v>29</v>
      </c>
      <c r="F31" s="11" t="s">
        <v>124</v>
      </c>
      <c r="G31" s="3">
        <f t="shared" si="1"/>
        <v>6</v>
      </c>
      <c r="I31" s="2" t="s">
        <v>124</v>
      </c>
      <c r="J31" s="2" t="s">
        <v>36</v>
      </c>
      <c r="K31" t="str">
        <f t="shared" si="2"/>
        <v>Non Match</v>
      </c>
    </row>
    <row r="32" spans="1:11" ht="21.75" thickBot="1">
      <c r="A32" s="3" t="str">
        <f>IF(SUMIFS('RAW DATA'!O:O,'RAW DATA'!D:D,'RAW DATA'!D32)&gt;5000,"High Value","Normal")</f>
        <v>High Value</v>
      </c>
      <c r="C32" s="11" t="s">
        <v>127</v>
      </c>
      <c r="D32" s="3">
        <f t="shared" si="0"/>
        <v>15</v>
      </c>
      <c r="F32" s="11" t="s">
        <v>56</v>
      </c>
      <c r="G32" s="3">
        <f t="shared" si="1"/>
        <v>9</v>
      </c>
      <c r="I32" s="2" t="s">
        <v>56</v>
      </c>
      <c r="J32" s="2" t="s">
        <v>36</v>
      </c>
      <c r="K32" t="str">
        <f t="shared" si="2"/>
        <v>Non Match</v>
      </c>
    </row>
    <row r="33" spans="1:11" ht="21.75" thickBot="1">
      <c r="A33" s="3" t="str">
        <f>IF(SUMIFS('RAW DATA'!O:O,'RAW DATA'!D:D,'RAW DATA'!D33)&gt;5000,"High Value","Normal")</f>
        <v>Normal</v>
      </c>
      <c r="C33" s="11" t="s">
        <v>45</v>
      </c>
      <c r="D33" s="3">
        <f t="shared" si="0"/>
        <v>35</v>
      </c>
      <c r="F33" s="11" t="s">
        <v>130</v>
      </c>
      <c r="G33" s="3">
        <f t="shared" si="1"/>
        <v>5</v>
      </c>
      <c r="I33" s="2" t="s">
        <v>130</v>
      </c>
      <c r="J33" s="2" t="s">
        <v>22</v>
      </c>
      <c r="K33" t="str">
        <f t="shared" si="2"/>
        <v>Non Match</v>
      </c>
    </row>
    <row r="34" spans="1:11" ht="21.75" thickBot="1">
      <c r="A34" s="3" t="str">
        <f>IF(SUMIFS('RAW DATA'!O:O,'RAW DATA'!D:D,'RAW DATA'!D34)&gt;5000,"High Value","Normal")</f>
        <v>Normal</v>
      </c>
      <c r="C34" s="11" t="s">
        <v>45</v>
      </c>
      <c r="D34" s="3">
        <f t="shared" si="0"/>
        <v>35</v>
      </c>
      <c r="F34" s="11" t="s">
        <v>133</v>
      </c>
      <c r="G34" s="3">
        <f t="shared" si="1"/>
        <v>5</v>
      </c>
      <c r="I34" s="2" t="s">
        <v>133</v>
      </c>
      <c r="J34" s="2" t="s">
        <v>27</v>
      </c>
      <c r="K34" t="str">
        <f t="shared" si="2"/>
        <v>Non Match</v>
      </c>
    </row>
    <row r="35" spans="1:11" ht="21.75" thickBot="1">
      <c r="A35" s="3" t="str">
        <f>IF(SUMIFS('RAW DATA'!O:O,'RAW DATA'!D:D,'RAW DATA'!D35)&gt;5000,"High Value","Normal")</f>
        <v>Normal</v>
      </c>
      <c r="C35" s="11" t="s">
        <v>62</v>
      </c>
      <c r="D35" s="3">
        <f t="shared" si="0"/>
        <v>24</v>
      </c>
      <c r="F35" s="11" t="s">
        <v>30</v>
      </c>
      <c r="G35" s="3">
        <f t="shared" si="1"/>
        <v>6</v>
      </c>
      <c r="I35" s="2" t="s">
        <v>30</v>
      </c>
      <c r="J35" s="2" t="s">
        <v>27</v>
      </c>
      <c r="K35" t="str">
        <f t="shared" si="2"/>
        <v>Non Match</v>
      </c>
    </row>
    <row r="36" spans="1:11" ht="32.25" thickBot="1">
      <c r="A36" s="3" t="str">
        <f>IF(SUMIFS('RAW DATA'!O:O,'RAW DATA'!D:D,'RAW DATA'!D36)&gt;5000,"High Value","Normal")</f>
        <v>High Value</v>
      </c>
      <c r="C36" s="11" t="s">
        <v>106</v>
      </c>
      <c r="D36" s="3">
        <f t="shared" si="0"/>
        <v>26</v>
      </c>
      <c r="F36" s="11" t="s">
        <v>100</v>
      </c>
      <c r="G36" s="3">
        <f t="shared" si="1"/>
        <v>8</v>
      </c>
      <c r="I36" s="2" t="s">
        <v>100</v>
      </c>
      <c r="J36" s="2" t="s">
        <v>22</v>
      </c>
      <c r="K36" t="str">
        <f t="shared" si="2"/>
        <v>Non Match</v>
      </c>
    </row>
    <row r="37" spans="1:11" ht="21.75" thickBot="1">
      <c r="A37" s="3" t="str">
        <f>IF(SUMIFS('RAW DATA'!O:O,'RAW DATA'!D:D,'RAW DATA'!D37)&gt;5000,"High Value","Normal")</f>
        <v>Normal</v>
      </c>
      <c r="C37" s="11" t="s">
        <v>115</v>
      </c>
      <c r="D37" s="3">
        <f t="shared" si="0"/>
        <v>14</v>
      </c>
      <c r="F37" s="11" t="s">
        <v>130</v>
      </c>
      <c r="G37" s="3">
        <f t="shared" si="1"/>
        <v>5</v>
      </c>
      <c r="I37" s="2" t="s">
        <v>130</v>
      </c>
      <c r="J37" s="2" t="s">
        <v>22</v>
      </c>
      <c r="K37" t="str">
        <f t="shared" si="2"/>
        <v>Non Match</v>
      </c>
    </row>
    <row r="38" spans="1:11" ht="21.75" thickBot="1">
      <c r="A38" s="3" t="str">
        <f>IF(SUMIFS('RAW DATA'!O:O,'RAW DATA'!D:D,'RAW DATA'!D38)&gt;5000,"High Value","Normal")</f>
        <v>Normal</v>
      </c>
      <c r="C38" s="11" t="s">
        <v>127</v>
      </c>
      <c r="D38" s="3">
        <f t="shared" si="0"/>
        <v>15</v>
      </c>
      <c r="F38" s="11" t="s">
        <v>139</v>
      </c>
      <c r="G38" s="3">
        <f t="shared" si="1"/>
        <v>6</v>
      </c>
      <c r="I38" s="2" t="s">
        <v>139</v>
      </c>
      <c r="J38" s="2" t="s">
        <v>27</v>
      </c>
      <c r="K38" t="str">
        <f t="shared" si="2"/>
        <v>Non Match</v>
      </c>
    </row>
    <row r="39" spans="1:11" ht="32.25" thickBot="1">
      <c r="A39" s="3" t="str">
        <f>IF(SUMIFS('RAW DATA'!O:O,'RAW DATA'!D:D,'RAW DATA'!D39)&gt;5000,"High Value","Normal")</f>
        <v>Normal</v>
      </c>
      <c r="C39" s="11" t="s">
        <v>81</v>
      </c>
      <c r="D39" s="3">
        <f t="shared" si="0"/>
        <v>31</v>
      </c>
      <c r="F39" s="11" t="s">
        <v>142</v>
      </c>
      <c r="G39" s="3">
        <f t="shared" si="1"/>
        <v>4</v>
      </c>
      <c r="I39" s="2" t="s">
        <v>142</v>
      </c>
      <c r="J39" s="2" t="s">
        <v>36</v>
      </c>
      <c r="K39" t="str">
        <f t="shared" si="2"/>
        <v>Non Match</v>
      </c>
    </row>
    <row r="40" spans="1:11" ht="21.75" thickBot="1">
      <c r="A40" s="3" t="str">
        <f>IF(SUMIFS('RAW DATA'!O:O,'RAW DATA'!D:D,'RAW DATA'!D40)&gt;5000,"High Value","Normal")</f>
        <v>High Value</v>
      </c>
      <c r="C40" s="11" t="s">
        <v>118</v>
      </c>
      <c r="D40" s="3">
        <f t="shared" si="0"/>
        <v>34</v>
      </c>
      <c r="F40" s="11" t="s">
        <v>145</v>
      </c>
      <c r="G40" s="3">
        <f t="shared" si="1"/>
        <v>4</v>
      </c>
      <c r="I40" s="2" t="s">
        <v>145</v>
      </c>
      <c r="J40" s="2" t="s">
        <v>27</v>
      </c>
      <c r="K40" t="str">
        <f t="shared" si="2"/>
        <v>Non Match</v>
      </c>
    </row>
    <row r="41" spans="1:11" ht="21.75" thickBot="1">
      <c r="A41" s="3" t="str">
        <f>IF(SUMIFS('RAW DATA'!O:O,'RAW DATA'!D:D,'RAW DATA'!D41)&gt;5000,"High Value","Normal")</f>
        <v>High Value</v>
      </c>
      <c r="C41" s="11" t="s">
        <v>115</v>
      </c>
      <c r="D41" s="3">
        <f t="shared" si="0"/>
        <v>14</v>
      </c>
      <c r="F41" s="11" t="s">
        <v>148</v>
      </c>
      <c r="G41" s="3">
        <f t="shared" si="1"/>
        <v>7</v>
      </c>
      <c r="I41" s="2" t="s">
        <v>148</v>
      </c>
      <c r="J41" s="2" t="s">
        <v>36</v>
      </c>
      <c r="K41" t="str">
        <f t="shared" si="2"/>
        <v>Non Match</v>
      </c>
    </row>
    <row r="42" spans="1:11" ht="21.75" thickBot="1">
      <c r="A42" s="3" t="str">
        <f>IF(SUMIFS('RAW DATA'!O:O,'RAW DATA'!D:D,'RAW DATA'!D42)&gt;5000,"High Value","Normal")</f>
        <v>High Value</v>
      </c>
      <c r="C42" s="11" t="s">
        <v>32</v>
      </c>
      <c r="D42" s="3">
        <f t="shared" si="0"/>
        <v>29</v>
      </c>
      <c r="F42" s="11" t="s">
        <v>151</v>
      </c>
      <c r="G42" s="3">
        <f t="shared" si="1"/>
        <v>6</v>
      </c>
      <c r="I42" s="2" t="s">
        <v>151</v>
      </c>
      <c r="J42" s="2" t="s">
        <v>22</v>
      </c>
      <c r="K42" t="str">
        <f t="shared" si="2"/>
        <v>Non Match</v>
      </c>
    </row>
    <row r="43" spans="1:11" ht="21.75" thickBot="1">
      <c r="A43" s="3" t="str">
        <f>IF(SUMIFS('RAW DATA'!O:O,'RAW DATA'!D:D,'RAW DATA'!D43)&gt;5000,"High Value","Normal")</f>
        <v>High Value</v>
      </c>
      <c r="C43" s="11" t="s">
        <v>118</v>
      </c>
      <c r="D43" s="3">
        <f t="shared" si="0"/>
        <v>34</v>
      </c>
      <c r="F43" s="11" t="s">
        <v>56</v>
      </c>
      <c r="G43" s="3">
        <f t="shared" si="1"/>
        <v>9</v>
      </c>
      <c r="I43" s="2" t="s">
        <v>56</v>
      </c>
      <c r="J43" s="2" t="s">
        <v>22</v>
      </c>
      <c r="K43" t="str">
        <f t="shared" si="2"/>
        <v>Non Match</v>
      </c>
    </row>
    <row r="44" spans="1:11" ht="21.75" thickBot="1">
      <c r="A44" s="3" t="str">
        <f>IF(SUMIFS('RAW DATA'!O:O,'RAW DATA'!D:D,'RAW DATA'!D44)&gt;5000,"High Value","Normal")</f>
        <v>High Value</v>
      </c>
      <c r="C44" s="11" t="s">
        <v>118</v>
      </c>
      <c r="D44" s="3">
        <f t="shared" si="0"/>
        <v>34</v>
      </c>
      <c r="F44" s="11" t="s">
        <v>155</v>
      </c>
      <c r="G44" s="3">
        <f t="shared" si="1"/>
        <v>5</v>
      </c>
      <c r="I44" s="2" t="s">
        <v>155</v>
      </c>
      <c r="J44" s="2" t="s">
        <v>36</v>
      </c>
      <c r="K44" t="str">
        <f t="shared" si="2"/>
        <v>Non Match</v>
      </c>
    </row>
    <row r="45" spans="1:11" ht="32.25" thickBot="1">
      <c r="A45" s="3" t="str">
        <f>IF(SUMIFS('RAW DATA'!O:O,'RAW DATA'!D:D,'RAW DATA'!D45)&gt;5000,"High Value","Normal")</f>
        <v>High Value</v>
      </c>
      <c r="C45" s="11" t="s">
        <v>18</v>
      </c>
      <c r="D45" s="3">
        <f t="shared" si="0"/>
        <v>26</v>
      </c>
      <c r="F45" s="11" t="s">
        <v>25</v>
      </c>
      <c r="G45" s="3">
        <f t="shared" si="1"/>
        <v>5</v>
      </c>
      <c r="I45" s="2" t="s">
        <v>25</v>
      </c>
      <c r="J45" s="2" t="s">
        <v>36</v>
      </c>
      <c r="K45" t="str">
        <f t="shared" si="2"/>
        <v>Non Match</v>
      </c>
    </row>
    <row r="46" spans="1:11" ht="32.25" thickBot="1">
      <c r="A46" s="3" t="str">
        <f>IF(SUMIFS('RAW DATA'!O:O,'RAW DATA'!D:D,'RAW DATA'!D46)&gt;5000,"High Value","Normal")</f>
        <v>High Value</v>
      </c>
      <c r="C46" s="11" t="s">
        <v>118</v>
      </c>
      <c r="D46" s="3">
        <f t="shared" si="0"/>
        <v>34</v>
      </c>
      <c r="F46" s="11" t="s">
        <v>159</v>
      </c>
      <c r="G46" s="3">
        <f t="shared" si="1"/>
        <v>5</v>
      </c>
      <c r="I46" s="2" t="s">
        <v>159</v>
      </c>
      <c r="J46" s="2" t="s">
        <v>36</v>
      </c>
      <c r="K46" t="str">
        <f t="shared" si="2"/>
        <v>Non Match</v>
      </c>
    </row>
    <row r="47" spans="1:11" ht="32.25" thickBot="1">
      <c r="A47" s="3" t="str">
        <f>IF(SUMIFS('RAW DATA'!O:O,'RAW DATA'!D:D,'RAW DATA'!D47)&gt;5000,"High Value","Normal")</f>
        <v>High Value</v>
      </c>
      <c r="C47" s="11" t="s">
        <v>45</v>
      </c>
      <c r="D47" s="3">
        <f t="shared" si="0"/>
        <v>35</v>
      </c>
      <c r="F47" s="11" t="s">
        <v>43</v>
      </c>
      <c r="G47" s="3">
        <f t="shared" si="1"/>
        <v>9</v>
      </c>
      <c r="I47" s="2" t="s">
        <v>43</v>
      </c>
      <c r="J47" s="2" t="s">
        <v>27</v>
      </c>
      <c r="K47" t="str">
        <f t="shared" si="2"/>
        <v>Non Match</v>
      </c>
    </row>
    <row r="48" spans="1:11" ht="21.75" thickBot="1">
      <c r="A48" s="3" t="str">
        <f>IF(SUMIFS('RAW DATA'!O:O,'RAW DATA'!D:D,'RAW DATA'!D48)&gt;5000,"High Value","Normal")</f>
        <v>Normal</v>
      </c>
      <c r="C48" s="11" t="s">
        <v>32</v>
      </c>
      <c r="D48" s="3">
        <f t="shared" si="0"/>
        <v>29</v>
      </c>
      <c r="F48" s="11" t="s">
        <v>163</v>
      </c>
      <c r="G48" s="3">
        <f t="shared" si="1"/>
        <v>1</v>
      </c>
      <c r="I48" s="2" t="s">
        <v>163</v>
      </c>
      <c r="J48" s="2" t="s">
        <v>36</v>
      </c>
      <c r="K48" t="str">
        <f t="shared" si="2"/>
        <v>Non Match</v>
      </c>
    </row>
    <row r="49" spans="1:11" ht="21.75" thickBot="1">
      <c r="A49" s="3" t="str">
        <f>IF(SUMIFS('RAW DATA'!O:O,'RAW DATA'!D:D,'RAW DATA'!D49)&gt;5000,"High Value","Normal")</f>
        <v>Normal</v>
      </c>
      <c r="C49" s="11" t="s">
        <v>118</v>
      </c>
      <c r="D49" s="3">
        <f t="shared" si="0"/>
        <v>34</v>
      </c>
      <c r="F49" s="11" t="s">
        <v>130</v>
      </c>
      <c r="G49" s="3">
        <f t="shared" si="1"/>
        <v>5</v>
      </c>
      <c r="I49" s="2" t="s">
        <v>130</v>
      </c>
      <c r="J49" s="2" t="s">
        <v>27</v>
      </c>
      <c r="K49" t="str">
        <f t="shared" si="2"/>
        <v>Non Match</v>
      </c>
    </row>
    <row r="50" spans="1:11" ht="32.25" thickBot="1">
      <c r="A50" s="3" t="str">
        <f>IF(SUMIFS('RAW DATA'!O:O,'RAW DATA'!D:D,'RAW DATA'!D50)&gt;5000,"High Value","Normal")</f>
        <v>High Value</v>
      </c>
      <c r="C50" s="11" t="s">
        <v>118</v>
      </c>
      <c r="D50" s="3">
        <f t="shared" si="0"/>
        <v>34</v>
      </c>
      <c r="F50" s="11" t="s">
        <v>100</v>
      </c>
      <c r="G50" s="3">
        <f t="shared" si="1"/>
        <v>8</v>
      </c>
      <c r="I50" s="2" t="s">
        <v>100</v>
      </c>
      <c r="J50" s="2" t="s">
        <v>27</v>
      </c>
      <c r="K50" t="str">
        <f t="shared" si="2"/>
        <v>Non Match</v>
      </c>
    </row>
    <row r="51" spans="1:11" ht="21.75" thickBot="1">
      <c r="A51" s="3" t="str">
        <f>IF(SUMIFS('RAW DATA'!O:O,'RAW DATA'!D:D,'RAW DATA'!D51)&gt;5000,"High Value","Normal")</f>
        <v>High Value</v>
      </c>
      <c r="C51" s="11" t="s">
        <v>62</v>
      </c>
      <c r="D51" s="3">
        <f t="shared" si="0"/>
        <v>24</v>
      </c>
      <c r="F51" s="11" t="s">
        <v>16</v>
      </c>
      <c r="G51" s="3">
        <f t="shared" si="1"/>
        <v>8</v>
      </c>
      <c r="I51" s="2" t="s">
        <v>16</v>
      </c>
      <c r="J51" s="2" t="s">
        <v>36</v>
      </c>
      <c r="K51" t="str">
        <f t="shared" si="2"/>
        <v>Non Match</v>
      </c>
    </row>
    <row r="52" spans="1:11" ht="32.25" thickBot="1">
      <c r="A52" s="3" t="str">
        <f>IF(SUMIFS('RAW DATA'!O:O,'RAW DATA'!D:D,'RAW DATA'!D52)&gt;5000,"High Value","Normal")</f>
        <v>High Value</v>
      </c>
      <c r="C52" s="11" t="s">
        <v>62</v>
      </c>
      <c r="D52" s="3">
        <f t="shared" si="0"/>
        <v>24</v>
      </c>
      <c r="F52" s="11" t="s">
        <v>124</v>
      </c>
      <c r="G52" s="3">
        <f t="shared" si="1"/>
        <v>6</v>
      </c>
      <c r="I52" s="2" t="s">
        <v>124</v>
      </c>
      <c r="J52" s="2" t="s">
        <v>27</v>
      </c>
      <c r="K52" t="str">
        <f t="shared" si="2"/>
        <v>Non Match</v>
      </c>
    </row>
    <row r="53" spans="1:11" ht="32.25" thickBot="1">
      <c r="A53" s="3" t="str">
        <f>IF(SUMIFS('RAW DATA'!O:O,'RAW DATA'!D:D,'RAW DATA'!D53)&gt;5000,"High Value","Normal")</f>
        <v>High Value</v>
      </c>
      <c r="C53" s="11" t="s">
        <v>32</v>
      </c>
      <c r="D53" s="3">
        <f t="shared" si="0"/>
        <v>29</v>
      </c>
      <c r="F53" s="11" t="s">
        <v>159</v>
      </c>
      <c r="G53" s="3">
        <f t="shared" si="1"/>
        <v>5</v>
      </c>
      <c r="I53" s="2" t="s">
        <v>159</v>
      </c>
      <c r="J53" s="2" t="s">
        <v>27</v>
      </c>
      <c r="K53" t="str">
        <f t="shared" si="2"/>
        <v>Non Match</v>
      </c>
    </row>
    <row r="54" spans="1:11" ht="32.25" thickBot="1">
      <c r="A54" s="3" t="str">
        <f>IF(SUMIFS('RAW DATA'!O:O,'RAW DATA'!D:D,'RAW DATA'!D54)&gt;5000,"High Value","Normal")</f>
        <v>Normal</v>
      </c>
      <c r="C54" s="11" t="s">
        <v>106</v>
      </c>
      <c r="D54" s="3">
        <f t="shared" si="0"/>
        <v>26</v>
      </c>
      <c r="F54" s="11" t="s">
        <v>142</v>
      </c>
      <c r="G54" s="3">
        <f t="shared" si="1"/>
        <v>4</v>
      </c>
      <c r="I54" s="2" t="s">
        <v>142</v>
      </c>
      <c r="J54" s="2" t="s">
        <v>36</v>
      </c>
      <c r="K54" t="str">
        <f t="shared" si="2"/>
        <v>Non Match</v>
      </c>
    </row>
    <row r="55" spans="1:11" ht="32.25" thickBot="1">
      <c r="A55" s="3" t="str">
        <f>IF(SUMIFS('RAW DATA'!O:O,'RAW DATA'!D:D,'RAW DATA'!D55)&gt;5000,"High Value","Normal")</f>
        <v>Normal</v>
      </c>
      <c r="C55" s="11" t="s">
        <v>118</v>
      </c>
      <c r="D55" s="3">
        <f t="shared" si="0"/>
        <v>34</v>
      </c>
      <c r="F55" s="11" t="s">
        <v>172</v>
      </c>
      <c r="G55" s="3">
        <f t="shared" si="1"/>
        <v>4</v>
      </c>
      <c r="I55" s="2" t="s">
        <v>172</v>
      </c>
      <c r="J55" s="2" t="s">
        <v>22</v>
      </c>
      <c r="K55" t="str">
        <f t="shared" si="2"/>
        <v>Non Match</v>
      </c>
    </row>
    <row r="56" spans="1:11" ht="21.75" thickBot="1">
      <c r="A56" s="3" t="str">
        <f>IF(SUMIFS('RAW DATA'!O:O,'RAW DATA'!D:D,'RAW DATA'!D56)&gt;5000,"High Value","Normal")</f>
        <v>Normal</v>
      </c>
      <c r="C56" s="11" t="s">
        <v>115</v>
      </c>
      <c r="D56" s="3">
        <f t="shared" si="0"/>
        <v>14</v>
      </c>
      <c r="F56" s="11" t="s">
        <v>30</v>
      </c>
      <c r="G56" s="3">
        <f t="shared" si="1"/>
        <v>6</v>
      </c>
      <c r="I56" s="2" t="s">
        <v>30</v>
      </c>
      <c r="J56" s="2" t="s">
        <v>27</v>
      </c>
      <c r="K56" t="str">
        <f t="shared" si="2"/>
        <v>Non Match</v>
      </c>
    </row>
    <row r="57" spans="1:11" ht="32.25" thickBot="1">
      <c r="A57" s="3" t="str">
        <f>IF(SUMIFS('RAW DATA'!O:O,'RAW DATA'!D:D,'RAW DATA'!D57)&gt;5000,"High Value","Normal")</f>
        <v>Normal</v>
      </c>
      <c r="C57" s="11" t="s">
        <v>118</v>
      </c>
      <c r="D57" s="3">
        <f t="shared" si="0"/>
        <v>34</v>
      </c>
      <c r="F57" s="11" t="s">
        <v>60</v>
      </c>
      <c r="G57" s="3">
        <f t="shared" si="1"/>
        <v>5</v>
      </c>
      <c r="I57" s="2" t="s">
        <v>60</v>
      </c>
      <c r="J57" s="2" t="s">
        <v>22</v>
      </c>
      <c r="K57" t="str">
        <f t="shared" si="2"/>
        <v>Non Match</v>
      </c>
    </row>
    <row r="58" spans="1:11" ht="32.25" thickBot="1">
      <c r="A58" s="3" t="str">
        <f>IF(SUMIFS('RAW DATA'!O:O,'RAW DATA'!D:D,'RAW DATA'!D58)&gt;5000,"High Value","Normal")</f>
        <v>Normal</v>
      </c>
      <c r="C58" s="11" t="s">
        <v>81</v>
      </c>
      <c r="D58" s="3">
        <f t="shared" si="0"/>
        <v>31</v>
      </c>
      <c r="F58" s="11" t="s">
        <v>39</v>
      </c>
      <c r="G58" s="3">
        <f t="shared" si="1"/>
        <v>6</v>
      </c>
      <c r="I58" s="2" t="s">
        <v>39</v>
      </c>
      <c r="J58" s="2" t="s">
        <v>27</v>
      </c>
      <c r="K58" t="str">
        <f t="shared" si="2"/>
        <v>Non Match</v>
      </c>
    </row>
    <row r="59" spans="1:11" ht="32.25" thickBot="1">
      <c r="A59" s="3" t="str">
        <f>IF(SUMIFS('RAW DATA'!O:O,'RAW DATA'!D:D,'RAW DATA'!D59)&gt;5000,"High Value","Normal")</f>
        <v>High Value</v>
      </c>
      <c r="C59" s="11" t="s">
        <v>62</v>
      </c>
      <c r="D59" s="3">
        <f t="shared" si="0"/>
        <v>24</v>
      </c>
      <c r="F59" s="11" t="s">
        <v>100</v>
      </c>
      <c r="G59" s="3">
        <f t="shared" si="1"/>
        <v>8</v>
      </c>
      <c r="I59" s="2" t="s">
        <v>100</v>
      </c>
      <c r="J59" s="2" t="s">
        <v>27</v>
      </c>
      <c r="K59" t="str">
        <f t="shared" si="2"/>
        <v>Non Match</v>
      </c>
    </row>
    <row r="60" spans="1:11" ht="21.75" thickBot="1">
      <c r="A60" s="3" t="str">
        <f>IF(SUMIFS('RAW DATA'!O:O,'RAW DATA'!D:D,'RAW DATA'!D60)&gt;5000,"High Value","Normal")</f>
        <v>High Value</v>
      </c>
      <c r="C60" s="11" t="s">
        <v>45</v>
      </c>
      <c r="D60" s="3">
        <f t="shared" si="0"/>
        <v>35</v>
      </c>
      <c r="F60" s="11" t="s">
        <v>121</v>
      </c>
      <c r="G60" s="3">
        <f t="shared" si="1"/>
        <v>7</v>
      </c>
      <c r="I60" s="2" t="s">
        <v>121</v>
      </c>
      <c r="J60" s="2" t="s">
        <v>22</v>
      </c>
      <c r="K60" t="str">
        <f t="shared" si="2"/>
        <v>Non Match</v>
      </c>
    </row>
    <row r="61" spans="1:11" ht="21.75" thickBot="1">
      <c r="A61" s="3" t="str">
        <f>IF(SUMIFS('RAW DATA'!O:O,'RAW DATA'!D:D,'RAW DATA'!D61)&gt;5000,"High Value","Normal")</f>
        <v>Normal</v>
      </c>
      <c r="C61" s="11" t="s">
        <v>118</v>
      </c>
      <c r="D61" s="3">
        <f t="shared" si="0"/>
        <v>34</v>
      </c>
      <c r="F61" s="11" t="s">
        <v>133</v>
      </c>
      <c r="G61" s="3">
        <f t="shared" si="1"/>
        <v>5</v>
      </c>
      <c r="I61" s="2" t="s">
        <v>133</v>
      </c>
      <c r="J61" s="2" t="s">
        <v>27</v>
      </c>
      <c r="K61" t="str">
        <f t="shared" si="2"/>
        <v>Non Match</v>
      </c>
    </row>
    <row r="62" spans="1:11" ht="21.75" thickBot="1">
      <c r="A62" s="3" t="str">
        <f>IF(SUMIFS('RAW DATA'!O:O,'RAW DATA'!D:D,'RAW DATA'!D62)&gt;5000,"High Value","Normal")</f>
        <v>High Value</v>
      </c>
      <c r="C62" s="11" t="s">
        <v>118</v>
      </c>
      <c r="D62" s="3">
        <f t="shared" si="0"/>
        <v>34</v>
      </c>
      <c r="F62" s="11" t="s">
        <v>56</v>
      </c>
      <c r="G62" s="3">
        <f t="shared" si="1"/>
        <v>9</v>
      </c>
      <c r="I62" s="2" t="s">
        <v>56</v>
      </c>
      <c r="J62" s="2" t="s">
        <v>36</v>
      </c>
      <c r="K62" t="str">
        <f t="shared" si="2"/>
        <v>Non Match</v>
      </c>
    </row>
    <row r="63" spans="1:11" ht="21.75" thickBot="1">
      <c r="A63" s="3" t="str">
        <f>IF(SUMIFS('RAW DATA'!O:O,'RAW DATA'!D:D,'RAW DATA'!D63)&gt;5000,"High Value","Normal")</f>
        <v>Normal</v>
      </c>
      <c r="C63" s="11" t="s">
        <v>118</v>
      </c>
      <c r="D63" s="3">
        <f t="shared" si="0"/>
        <v>34</v>
      </c>
      <c r="F63" s="11" t="s">
        <v>69</v>
      </c>
      <c r="G63" s="3">
        <f t="shared" si="1"/>
        <v>4</v>
      </c>
      <c r="I63" s="2" t="s">
        <v>69</v>
      </c>
      <c r="J63" s="2" t="s">
        <v>36</v>
      </c>
      <c r="K63" t="str">
        <f t="shared" si="2"/>
        <v>Non Match</v>
      </c>
    </row>
    <row r="64" spans="1:11" ht="32.25" thickBot="1">
      <c r="A64" s="3" t="str">
        <f>IF(SUMIFS('RAW DATA'!O:O,'RAW DATA'!D:D,'RAW DATA'!D64)&gt;5000,"High Value","Normal")</f>
        <v>Normal</v>
      </c>
      <c r="C64" s="11" t="s">
        <v>115</v>
      </c>
      <c r="D64" s="3">
        <f t="shared" si="0"/>
        <v>14</v>
      </c>
      <c r="F64" s="11" t="s">
        <v>183</v>
      </c>
      <c r="G64" s="3">
        <f t="shared" si="1"/>
        <v>6</v>
      </c>
      <c r="I64" s="2" t="s">
        <v>183</v>
      </c>
      <c r="J64" s="2" t="s">
        <v>22</v>
      </c>
      <c r="K64" t="str">
        <f t="shared" si="2"/>
        <v>Non Match</v>
      </c>
    </row>
    <row r="65" spans="1:11" ht="32.25" thickBot="1">
      <c r="A65" s="3" t="str">
        <f>IF(SUMIFS('RAW DATA'!O:O,'RAW DATA'!D:D,'RAW DATA'!D65)&gt;5000,"High Value","Normal")</f>
        <v>Normal</v>
      </c>
      <c r="C65" s="11" t="s">
        <v>45</v>
      </c>
      <c r="D65" s="3">
        <f t="shared" si="0"/>
        <v>35</v>
      </c>
      <c r="F65" s="11" t="s">
        <v>186</v>
      </c>
      <c r="G65" s="3">
        <f t="shared" si="1"/>
        <v>4</v>
      </c>
      <c r="I65" s="2" t="s">
        <v>186</v>
      </c>
      <c r="J65" s="2" t="s">
        <v>22</v>
      </c>
      <c r="K65" t="str">
        <f t="shared" si="2"/>
        <v>Non Match</v>
      </c>
    </row>
    <row r="66" spans="1:11" ht="32.25" thickBot="1">
      <c r="A66" s="3" t="str">
        <f>IF(SUMIFS('RAW DATA'!O:O,'RAW DATA'!D:D,'RAW DATA'!D66)&gt;5000,"High Value","Normal")</f>
        <v>High Value</v>
      </c>
      <c r="C66" s="11" t="s">
        <v>81</v>
      </c>
      <c r="D66" s="3">
        <f t="shared" si="0"/>
        <v>31</v>
      </c>
      <c r="F66" s="11" t="s">
        <v>43</v>
      </c>
      <c r="G66" s="3">
        <f t="shared" si="1"/>
        <v>9</v>
      </c>
      <c r="I66" s="2" t="s">
        <v>43</v>
      </c>
      <c r="J66" s="2" t="s">
        <v>27</v>
      </c>
      <c r="K66" t="str">
        <f t="shared" si="2"/>
        <v>Non Match</v>
      </c>
    </row>
    <row r="67" spans="1:11" ht="21.75" thickBot="1">
      <c r="A67" s="3" t="str">
        <f>IF(SUMIFS('RAW DATA'!O:O,'RAW DATA'!D:D,'RAW DATA'!D67)&gt;5000,"High Value","Normal")</f>
        <v>High Value</v>
      </c>
      <c r="C67" s="11" t="s">
        <v>118</v>
      </c>
      <c r="D67" s="3">
        <f t="shared" ref="D67:D130" si="3">COUNTIF(C:C,C67)</f>
        <v>34</v>
      </c>
      <c r="F67" s="11" t="s">
        <v>97</v>
      </c>
      <c r="G67" s="3">
        <f t="shared" ref="G67:G130" si="4">COUNTIF(F:F,F67)</f>
        <v>5</v>
      </c>
      <c r="I67" s="2" t="s">
        <v>97</v>
      </c>
      <c r="J67" s="2" t="s">
        <v>27</v>
      </c>
      <c r="K67" t="str">
        <f t="shared" ref="K67:K130" si="5">IF(COUNTIF(J67:J316,I67)&gt;0,"Match","Non Match")</f>
        <v>Non Match</v>
      </c>
    </row>
    <row r="68" spans="1:11" ht="32.25" thickBot="1">
      <c r="A68" s="3" t="str">
        <f>IF(SUMIFS('RAW DATA'!O:O,'RAW DATA'!D:D,'RAW DATA'!D68)&gt;5000,"High Value","Normal")</f>
        <v>Normal</v>
      </c>
      <c r="C68" s="11" t="s">
        <v>32</v>
      </c>
      <c r="D68" s="3">
        <f t="shared" si="3"/>
        <v>29</v>
      </c>
      <c r="F68" s="11" t="s">
        <v>172</v>
      </c>
      <c r="G68" s="3">
        <f t="shared" si="4"/>
        <v>4</v>
      </c>
      <c r="I68" s="2" t="s">
        <v>172</v>
      </c>
      <c r="J68" s="2" t="s">
        <v>36</v>
      </c>
      <c r="K68" t="str">
        <f t="shared" si="5"/>
        <v>Non Match</v>
      </c>
    </row>
    <row r="69" spans="1:11" ht="32.25" thickBot="1">
      <c r="A69" s="3" t="str">
        <f>IF(SUMIFS('RAW DATA'!O:O,'RAW DATA'!D:D,'RAW DATA'!D69)&gt;5000,"High Value","Normal")</f>
        <v>High Value</v>
      </c>
      <c r="C69" s="11" t="s">
        <v>53</v>
      </c>
      <c r="D69" s="3">
        <f t="shared" si="3"/>
        <v>16</v>
      </c>
      <c r="F69" s="11" t="s">
        <v>25</v>
      </c>
      <c r="G69" s="3">
        <f t="shared" si="4"/>
        <v>5</v>
      </c>
      <c r="I69" s="2" t="s">
        <v>25</v>
      </c>
      <c r="J69" s="2" t="s">
        <v>36</v>
      </c>
      <c r="K69" t="str">
        <f t="shared" si="5"/>
        <v>Non Match</v>
      </c>
    </row>
    <row r="70" spans="1:11" ht="21.75" thickBot="1">
      <c r="A70" s="3" t="str">
        <f>IF(SUMIFS('RAW DATA'!O:O,'RAW DATA'!D:D,'RAW DATA'!D70)&gt;5000,"High Value","Normal")</f>
        <v>Normal</v>
      </c>
      <c r="C70" s="11" t="s">
        <v>106</v>
      </c>
      <c r="D70" s="3">
        <f t="shared" si="3"/>
        <v>26</v>
      </c>
      <c r="F70" s="11" t="s">
        <v>193</v>
      </c>
      <c r="G70" s="3">
        <f t="shared" si="4"/>
        <v>5</v>
      </c>
      <c r="I70" s="2" t="s">
        <v>193</v>
      </c>
      <c r="J70" s="2" t="s">
        <v>27</v>
      </c>
      <c r="K70" t="str">
        <f t="shared" si="5"/>
        <v>Non Match</v>
      </c>
    </row>
    <row r="71" spans="1:11" ht="21.75" thickBot="1">
      <c r="A71" s="3" t="str">
        <f>IF(SUMIFS('RAW DATA'!O:O,'RAW DATA'!D:D,'RAW DATA'!D71)&gt;5000,"High Value","Normal")</f>
        <v>Normal</v>
      </c>
      <c r="C71" s="11" t="s">
        <v>127</v>
      </c>
      <c r="D71" s="3">
        <f t="shared" si="3"/>
        <v>15</v>
      </c>
      <c r="F71" s="11" t="s">
        <v>193</v>
      </c>
      <c r="G71" s="3">
        <f t="shared" si="4"/>
        <v>5</v>
      </c>
      <c r="I71" s="2" t="s">
        <v>193</v>
      </c>
      <c r="J71" s="2" t="s">
        <v>22</v>
      </c>
      <c r="K71" t="str">
        <f t="shared" si="5"/>
        <v>Non Match</v>
      </c>
    </row>
    <row r="72" spans="1:11" ht="32.25" thickBot="1">
      <c r="A72" s="3" t="str">
        <f>IF(SUMIFS('RAW DATA'!O:O,'RAW DATA'!D:D,'RAW DATA'!D72)&gt;5000,"High Value","Normal")</f>
        <v>High Value</v>
      </c>
      <c r="C72" s="11" t="s">
        <v>32</v>
      </c>
      <c r="D72" s="3">
        <f t="shared" si="3"/>
        <v>29</v>
      </c>
      <c r="F72" s="11" t="s">
        <v>197</v>
      </c>
      <c r="G72" s="3">
        <f t="shared" si="4"/>
        <v>4</v>
      </c>
      <c r="I72" s="2" t="s">
        <v>197</v>
      </c>
      <c r="J72" s="2" t="s">
        <v>22</v>
      </c>
      <c r="K72" t="str">
        <f t="shared" si="5"/>
        <v>Non Match</v>
      </c>
    </row>
    <row r="73" spans="1:11" ht="32.25" thickBot="1">
      <c r="A73" s="3" t="str">
        <f>IF(SUMIFS('RAW DATA'!O:O,'RAW DATA'!D:D,'RAW DATA'!D73)&gt;5000,"High Value","Normal")</f>
        <v>High Value</v>
      </c>
      <c r="C73" s="11" t="s">
        <v>45</v>
      </c>
      <c r="D73" s="3">
        <f t="shared" si="3"/>
        <v>35</v>
      </c>
      <c r="F73" s="11" t="s">
        <v>73</v>
      </c>
      <c r="G73" s="3">
        <f t="shared" si="4"/>
        <v>5</v>
      </c>
      <c r="I73" s="2" t="s">
        <v>73</v>
      </c>
      <c r="J73" s="2" t="s">
        <v>27</v>
      </c>
      <c r="K73" t="str">
        <f t="shared" si="5"/>
        <v>Non Match</v>
      </c>
    </row>
    <row r="74" spans="1:11" ht="21.75" thickBot="1">
      <c r="A74" s="3" t="str">
        <f>IF(SUMIFS('RAW DATA'!O:O,'RAW DATA'!D:D,'RAW DATA'!D74)&gt;5000,"High Value","Normal")</f>
        <v>High Value</v>
      </c>
      <c r="C74" s="11" t="s">
        <v>127</v>
      </c>
      <c r="D74" s="3">
        <f t="shared" si="3"/>
        <v>15</v>
      </c>
      <c r="F74" s="11" t="s">
        <v>66</v>
      </c>
      <c r="G74" s="3">
        <f t="shared" si="4"/>
        <v>8</v>
      </c>
      <c r="I74" s="2" t="s">
        <v>66</v>
      </c>
      <c r="J74" s="2" t="s">
        <v>27</v>
      </c>
      <c r="K74" t="str">
        <f t="shared" si="5"/>
        <v>Non Match</v>
      </c>
    </row>
    <row r="75" spans="1:11" ht="21.75" thickBot="1">
      <c r="A75" s="3" t="str">
        <f>IF(SUMIFS('RAW DATA'!O:O,'RAW DATA'!D:D,'RAW DATA'!D75)&gt;5000,"High Value","Normal")</f>
        <v>High Value</v>
      </c>
      <c r="C75" s="11" t="s">
        <v>62</v>
      </c>
      <c r="D75" s="3">
        <f t="shared" si="3"/>
        <v>24</v>
      </c>
      <c r="F75" s="11" t="s">
        <v>151</v>
      </c>
      <c r="G75" s="3">
        <f t="shared" si="4"/>
        <v>6</v>
      </c>
      <c r="I75" s="2" t="s">
        <v>151</v>
      </c>
      <c r="J75" s="2" t="s">
        <v>36</v>
      </c>
      <c r="K75" t="str">
        <f t="shared" si="5"/>
        <v>Non Match</v>
      </c>
    </row>
    <row r="76" spans="1:11" ht="32.25" thickBot="1">
      <c r="A76" s="3" t="str">
        <f>IF(SUMIFS('RAW DATA'!O:O,'RAW DATA'!D:D,'RAW DATA'!D76)&gt;5000,"High Value","Normal")</f>
        <v>High Value</v>
      </c>
      <c r="C76" s="11" t="s">
        <v>62</v>
      </c>
      <c r="D76" s="3">
        <f t="shared" si="3"/>
        <v>24</v>
      </c>
      <c r="F76" s="11" t="s">
        <v>25</v>
      </c>
      <c r="G76" s="3">
        <f t="shared" si="4"/>
        <v>5</v>
      </c>
      <c r="I76" s="2" t="s">
        <v>25</v>
      </c>
      <c r="J76" s="2" t="s">
        <v>36</v>
      </c>
      <c r="K76" t="str">
        <f t="shared" si="5"/>
        <v>Non Match</v>
      </c>
    </row>
    <row r="77" spans="1:11" ht="32.25" thickBot="1">
      <c r="A77" s="3" t="str">
        <f>IF(SUMIFS('RAW DATA'!O:O,'RAW DATA'!D:D,'RAW DATA'!D77)&gt;5000,"High Value","Normal")</f>
        <v>Normal</v>
      </c>
      <c r="C77" s="11" t="s">
        <v>32</v>
      </c>
      <c r="D77" s="3">
        <f t="shared" si="3"/>
        <v>29</v>
      </c>
      <c r="F77" s="11" t="s">
        <v>183</v>
      </c>
      <c r="G77" s="3">
        <f t="shared" si="4"/>
        <v>6</v>
      </c>
      <c r="I77" s="2" t="s">
        <v>183</v>
      </c>
      <c r="J77" s="2" t="s">
        <v>36</v>
      </c>
      <c r="K77" t="str">
        <f t="shared" si="5"/>
        <v>Non Match</v>
      </c>
    </row>
    <row r="78" spans="1:11" ht="32.25" thickBot="1">
      <c r="A78" s="3" t="str">
        <f>IF(SUMIFS('RAW DATA'!O:O,'RAW DATA'!D:D,'RAW DATA'!D78)&gt;5000,"High Value","Normal")</f>
        <v>High Value</v>
      </c>
      <c r="C78" s="11" t="s">
        <v>18</v>
      </c>
      <c r="D78" s="3">
        <f t="shared" si="3"/>
        <v>26</v>
      </c>
      <c r="F78" s="11" t="s">
        <v>197</v>
      </c>
      <c r="G78" s="3">
        <f t="shared" si="4"/>
        <v>4</v>
      </c>
      <c r="I78" s="2" t="s">
        <v>197</v>
      </c>
      <c r="J78" s="2" t="s">
        <v>36</v>
      </c>
      <c r="K78" t="str">
        <f t="shared" si="5"/>
        <v>Non Match</v>
      </c>
    </row>
    <row r="79" spans="1:11" ht="21.75" thickBot="1">
      <c r="A79" s="3" t="str">
        <f>IF(SUMIFS('RAW DATA'!O:O,'RAW DATA'!D:D,'RAW DATA'!D79)&gt;5000,"High Value","Normal")</f>
        <v>High Value</v>
      </c>
      <c r="C79" s="11" t="s">
        <v>18</v>
      </c>
      <c r="D79" s="3">
        <f t="shared" si="3"/>
        <v>26</v>
      </c>
      <c r="F79" s="11" t="s">
        <v>97</v>
      </c>
      <c r="G79" s="3">
        <f t="shared" si="4"/>
        <v>5</v>
      </c>
      <c r="I79" s="2" t="s">
        <v>97</v>
      </c>
      <c r="J79" s="2" t="s">
        <v>27</v>
      </c>
      <c r="K79" t="str">
        <f t="shared" si="5"/>
        <v>Non Match</v>
      </c>
    </row>
    <row r="80" spans="1:11" ht="21.75" thickBot="1">
      <c r="A80" s="3" t="str">
        <f>IF(SUMIFS('RAW DATA'!O:O,'RAW DATA'!D:D,'RAW DATA'!D80)&gt;5000,"High Value","Normal")</f>
        <v>High Value</v>
      </c>
      <c r="C80" s="11" t="s">
        <v>106</v>
      </c>
      <c r="D80" s="3">
        <f t="shared" si="3"/>
        <v>26</v>
      </c>
      <c r="F80" s="11" t="s">
        <v>148</v>
      </c>
      <c r="G80" s="3">
        <f t="shared" si="4"/>
        <v>7</v>
      </c>
      <c r="I80" s="2" t="s">
        <v>148</v>
      </c>
      <c r="J80" s="2" t="s">
        <v>22</v>
      </c>
      <c r="K80" t="str">
        <f t="shared" si="5"/>
        <v>Non Match</v>
      </c>
    </row>
    <row r="81" spans="1:11" ht="21.75" thickBot="1">
      <c r="A81" s="3" t="str">
        <f>IF(SUMIFS('RAW DATA'!O:O,'RAW DATA'!D:D,'RAW DATA'!D81)&gt;5000,"High Value","Normal")</f>
        <v>High Value</v>
      </c>
      <c r="C81" s="11" t="s">
        <v>118</v>
      </c>
      <c r="D81" s="3">
        <f t="shared" si="3"/>
        <v>34</v>
      </c>
      <c r="F81" s="11" t="s">
        <v>87</v>
      </c>
      <c r="G81" s="3">
        <f t="shared" si="4"/>
        <v>12</v>
      </c>
      <c r="I81" s="2" t="s">
        <v>87</v>
      </c>
      <c r="J81" s="2" t="s">
        <v>22</v>
      </c>
      <c r="K81" t="str">
        <f t="shared" si="5"/>
        <v>Non Match</v>
      </c>
    </row>
    <row r="82" spans="1:11" ht="21.75" thickBot="1">
      <c r="A82" s="3" t="str">
        <f>IF(SUMIFS('RAW DATA'!O:O,'RAW DATA'!D:D,'RAW DATA'!D82)&gt;5000,"High Value","Normal")</f>
        <v>High Value</v>
      </c>
      <c r="C82" s="11" t="s">
        <v>106</v>
      </c>
      <c r="D82" s="3">
        <f t="shared" si="3"/>
        <v>26</v>
      </c>
      <c r="F82" s="11" t="s">
        <v>148</v>
      </c>
      <c r="G82" s="3">
        <f t="shared" si="4"/>
        <v>7</v>
      </c>
      <c r="I82" s="2" t="s">
        <v>148</v>
      </c>
      <c r="J82" s="2" t="s">
        <v>22</v>
      </c>
      <c r="K82" t="str">
        <f t="shared" si="5"/>
        <v>Non Match</v>
      </c>
    </row>
    <row r="83" spans="1:11" ht="21.75" thickBot="1">
      <c r="A83" s="3" t="str">
        <f>IF(SUMIFS('RAW DATA'!O:O,'RAW DATA'!D:D,'RAW DATA'!D83)&gt;5000,"High Value","Normal")</f>
        <v>High Value</v>
      </c>
      <c r="C83" s="11" t="s">
        <v>81</v>
      </c>
      <c r="D83" s="3">
        <f t="shared" si="3"/>
        <v>31</v>
      </c>
      <c r="F83" s="11" t="s">
        <v>87</v>
      </c>
      <c r="G83" s="3">
        <f t="shared" si="4"/>
        <v>12</v>
      </c>
      <c r="I83" s="2" t="s">
        <v>87</v>
      </c>
      <c r="J83" s="2" t="s">
        <v>27</v>
      </c>
      <c r="K83" t="str">
        <f t="shared" si="5"/>
        <v>Non Match</v>
      </c>
    </row>
    <row r="84" spans="1:11" ht="21.75" thickBot="1">
      <c r="A84" s="3" t="str">
        <f>IF(SUMIFS('RAW DATA'!O:O,'RAW DATA'!D:D,'RAW DATA'!D84)&gt;5000,"High Value","Normal")</f>
        <v>High Value</v>
      </c>
      <c r="C84" s="11" t="s">
        <v>62</v>
      </c>
      <c r="D84" s="3">
        <f t="shared" si="3"/>
        <v>24</v>
      </c>
      <c r="F84" s="11" t="s">
        <v>121</v>
      </c>
      <c r="G84" s="3">
        <f t="shared" si="4"/>
        <v>7</v>
      </c>
      <c r="I84" s="2" t="s">
        <v>121</v>
      </c>
      <c r="J84" s="2" t="s">
        <v>36</v>
      </c>
      <c r="K84" t="str">
        <f t="shared" si="5"/>
        <v>Non Match</v>
      </c>
    </row>
    <row r="85" spans="1:11" ht="21.75" thickBot="1">
      <c r="A85" s="3" t="str">
        <f>IF(SUMIFS('RAW DATA'!O:O,'RAW DATA'!D:D,'RAW DATA'!D85)&gt;5000,"High Value","Normal")</f>
        <v>Normal</v>
      </c>
      <c r="C85" s="11" t="s">
        <v>45</v>
      </c>
      <c r="D85" s="3">
        <f t="shared" si="3"/>
        <v>35</v>
      </c>
      <c r="F85" s="11" t="s">
        <v>212</v>
      </c>
      <c r="G85" s="3">
        <f t="shared" si="4"/>
        <v>4</v>
      </c>
      <c r="I85" s="2" t="s">
        <v>212</v>
      </c>
      <c r="J85" s="2" t="s">
        <v>22</v>
      </c>
      <c r="K85" t="str">
        <f t="shared" si="5"/>
        <v>Non Match</v>
      </c>
    </row>
    <row r="86" spans="1:11" ht="21.75" thickBot="1">
      <c r="A86" s="3" t="str">
        <f>IF(SUMIFS('RAW DATA'!O:O,'RAW DATA'!D:D,'RAW DATA'!D86)&gt;5000,"High Value","Normal")</f>
        <v>Normal</v>
      </c>
      <c r="C86" s="11" t="s">
        <v>45</v>
      </c>
      <c r="D86" s="3">
        <f t="shared" si="3"/>
        <v>35</v>
      </c>
      <c r="F86" s="11" t="s">
        <v>103</v>
      </c>
      <c r="G86" s="3">
        <f t="shared" si="4"/>
        <v>5</v>
      </c>
      <c r="I86" s="2" t="s">
        <v>103</v>
      </c>
      <c r="J86" s="2" t="s">
        <v>36</v>
      </c>
      <c r="K86" t="str">
        <f t="shared" si="5"/>
        <v>Non Match</v>
      </c>
    </row>
    <row r="87" spans="1:11" ht="21.75" thickBot="1">
      <c r="A87" s="3" t="str">
        <f>IF(SUMIFS('RAW DATA'!O:O,'RAW DATA'!D:D,'RAW DATA'!D87)&gt;5000,"High Value","Normal")</f>
        <v>Normal</v>
      </c>
      <c r="C87" s="11" t="s">
        <v>118</v>
      </c>
      <c r="D87" s="3">
        <f t="shared" si="3"/>
        <v>34</v>
      </c>
      <c r="F87" s="11" t="s">
        <v>90</v>
      </c>
      <c r="G87" s="3">
        <f t="shared" si="4"/>
        <v>4</v>
      </c>
      <c r="I87" s="2" t="s">
        <v>90</v>
      </c>
      <c r="J87" s="2" t="s">
        <v>36</v>
      </c>
      <c r="K87" t="str">
        <f t="shared" si="5"/>
        <v>Non Match</v>
      </c>
    </row>
    <row r="88" spans="1:11" ht="21.75" thickBot="1">
      <c r="A88" s="3" t="str">
        <f>IF(SUMIFS('RAW DATA'!O:O,'RAW DATA'!D:D,'RAW DATA'!D88)&gt;5000,"High Value","Normal")</f>
        <v>High Value</v>
      </c>
      <c r="C88" s="11" t="s">
        <v>106</v>
      </c>
      <c r="D88" s="3">
        <f t="shared" si="3"/>
        <v>26</v>
      </c>
      <c r="F88" s="11" t="s">
        <v>87</v>
      </c>
      <c r="G88" s="3">
        <f t="shared" si="4"/>
        <v>12</v>
      </c>
      <c r="I88" s="2" t="s">
        <v>87</v>
      </c>
      <c r="J88" s="2" t="s">
        <v>22</v>
      </c>
      <c r="K88" t="str">
        <f t="shared" si="5"/>
        <v>Non Match</v>
      </c>
    </row>
    <row r="89" spans="1:11" ht="32.25" thickBot="1">
      <c r="A89" s="3" t="str">
        <f>IF(SUMIFS('RAW DATA'!O:O,'RAW DATA'!D:D,'RAW DATA'!D89)&gt;5000,"High Value","Normal")</f>
        <v>Normal</v>
      </c>
      <c r="C89" s="11" t="s">
        <v>53</v>
      </c>
      <c r="D89" s="3">
        <f t="shared" si="3"/>
        <v>16</v>
      </c>
      <c r="F89" s="11" t="s">
        <v>183</v>
      </c>
      <c r="G89" s="3">
        <f t="shared" si="4"/>
        <v>6</v>
      </c>
      <c r="I89" s="2" t="s">
        <v>183</v>
      </c>
      <c r="J89" s="2" t="s">
        <v>27</v>
      </c>
      <c r="K89" t="str">
        <f t="shared" si="5"/>
        <v>Non Match</v>
      </c>
    </row>
    <row r="90" spans="1:11" ht="32.25" thickBot="1">
      <c r="A90" s="3" t="str">
        <f>IF(SUMIFS('RAW DATA'!O:O,'RAW DATA'!D:D,'RAW DATA'!D90)&gt;5000,"High Value","Normal")</f>
        <v>Normal</v>
      </c>
      <c r="C90" s="11" t="s">
        <v>18</v>
      </c>
      <c r="D90" s="3">
        <f t="shared" si="3"/>
        <v>26</v>
      </c>
      <c r="F90" s="11" t="s">
        <v>186</v>
      </c>
      <c r="G90" s="3">
        <f t="shared" si="4"/>
        <v>4</v>
      </c>
      <c r="I90" s="2" t="s">
        <v>186</v>
      </c>
      <c r="J90" s="2" t="s">
        <v>27</v>
      </c>
      <c r="K90" t="str">
        <f t="shared" si="5"/>
        <v>Non Match</v>
      </c>
    </row>
    <row r="91" spans="1:11" ht="21.75" thickBot="1">
      <c r="A91" s="3" t="str">
        <f>IF(SUMIFS('RAW DATA'!O:O,'RAW DATA'!D:D,'RAW DATA'!D91)&gt;5000,"High Value","Normal")</f>
        <v>High Value</v>
      </c>
      <c r="C91" s="11" t="s">
        <v>18</v>
      </c>
      <c r="D91" s="3">
        <f t="shared" si="3"/>
        <v>26</v>
      </c>
      <c r="F91" s="11" t="s">
        <v>66</v>
      </c>
      <c r="G91" s="3">
        <f t="shared" si="4"/>
        <v>8</v>
      </c>
      <c r="I91" s="2" t="s">
        <v>66</v>
      </c>
      <c r="J91" s="2" t="s">
        <v>27</v>
      </c>
      <c r="K91" t="str">
        <f t="shared" si="5"/>
        <v>Non Match</v>
      </c>
    </row>
    <row r="92" spans="1:11" ht="32.25" thickBot="1">
      <c r="A92" s="3" t="str">
        <f>IF(SUMIFS('RAW DATA'!O:O,'RAW DATA'!D:D,'RAW DATA'!D92)&gt;5000,"High Value","Normal")</f>
        <v>Normal</v>
      </c>
      <c r="C92" s="11" t="s">
        <v>127</v>
      </c>
      <c r="D92" s="3">
        <f t="shared" si="3"/>
        <v>15</v>
      </c>
      <c r="F92" s="11" t="s">
        <v>39</v>
      </c>
      <c r="G92" s="3">
        <f t="shared" si="4"/>
        <v>6</v>
      </c>
      <c r="I92" s="2" t="s">
        <v>39</v>
      </c>
      <c r="J92" s="2" t="s">
        <v>36</v>
      </c>
      <c r="K92" t="str">
        <f t="shared" si="5"/>
        <v>Non Match</v>
      </c>
    </row>
    <row r="93" spans="1:11" ht="32.25" thickBot="1">
      <c r="A93" s="3" t="str">
        <f>IF(SUMIFS('RAW DATA'!O:O,'RAW DATA'!D:D,'RAW DATA'!D93)&gt;5000,"High Value","Normal")</f>
        <v>High Value</v>
      </c>
      <c r="C93" s="11" t="s">
        <v>127</v>
      </c>
      <c r="D93" s="3">
        <f t="shared" si="3"/>
        <v>15</v>
      </c>
      <c r="F93" s="11" t="s">
        <v>159</v>
      </c>
      <c r="G93" s="3">
        <f t="shared" si="4"/>
        <v>5</v>
      </c>
      <c r="I93" s="2" t="s">
        <v>159</v>
      </c>
      <c r="J93" s="2" t="s">
        <v>27</v>
      </c>
      <c r="K93" t="str">
        <f t="shared" si="5"/>
        <v>Non Match</v>
      </c>
    </row>
    <row r="94" spans="1:11" ht="21.75" thickBot="1">
      <c r="A94" s="3" t="str">
        <f>IF(SUMIFS('RAW DATA'!O:O,'RAW DATA'!D:D,'RAW DATA'!D94)&gt;5000,"High Value","Normal")</f>
        <v>High Value</v>
      </c>
      <c r="C94" s="11" t="s">
        <v>118</v>
      </c>
      <c r="D94" s="3">
        <f t="shared" si="3"/>
        <v>34</v>
      </c>
      <c r="F94" s="11" t="s">
        <v>87</v>
      </c>
      <c r="G94" s="3">
        <f t="shared" si="4"/>
        <v>12</v>
      </c>
      <c r="I94" s="2" t="s">
        <v>87</v>
      </c>
      <c r="J94" s="2" t="s">
        <v>27</v>
      </c>
      <c r="K94" t="str">
        <f t="shared" si="5"/>
        <v>Non Match</v>
      </c>
    </row>
    <row r="95" spans="1:11" ht="32.25" thickBot="1">
      <c r="A95" s="3" t="str">
        <f>IF(SUMIFS('RAW DATA'!O:O,'RAW DATA'!D:D,'RAW DATA'!D95)&gt;5000,"High Value","Normal")</f>
        <v>High Value</v>
      </c>
      <c r="C95" s="11" t="s">
        <v>62</v>
      </c>
      <c r="D95" s="3">
        <f t="shared" si="3"/>
        <v>24</v>
      </c>
      <c r="F95" s="11" t="s">
        <v>197</v>
      </c>
      <c r="G95" s="3">
        <f t="shared" si="4"/>
        <v>4</v>
      </c>
      <c r="I95" s="2" t="s">
        <v>197</v>
      </c>
      <c r="J95" s="2" t="s">
        <v>22</v>
      </c>
      <c r="K95" t="str">
        <f t="shared" si="5"/>
        <v>Non Match</v>
      </c>
    </row>
    <row r="96" spans="1:11" ht="21.75" thickBot="1">
      <c r="A96" s="3" t="str">
        <f>IF(SUMIFS('RAW DATA'!O:O,'RAW DATA'!D:D,'RAW DATA'!D96)&gt;5000,"High Value","Normal")</f>
        <v>Normal</v>
      </c>
      <c r="C96" s="11" t="s">
        <v>53</v>
      </c>
      <c r="D96" s="3">
        <f t="shared" si="3"/>
        <v>16</v>
      </c>
      <c r="F96" s="11" t="s">
        <v>109</v>
      </c>
      <c r="G96" s="3">
        <f t="shared" si="4"/>
        <v>6</v>
      </c>
      <c r="I96" s="2" t="s">
        <v>109</v>
      </c>
      <c r="J96" s="2" t="s">
        <v>22</v>
      </c>
      <c r="K96" t="str">
        <f t="shared" si="5"/>
        <v>Non Match</v>
      </c>
    </row>
    <row r="97" spans="1:11" ht="21.75" thickBot="1">
      <c r="A97" s="3" t="str">
        <f>IF(SUMIFS('RAW DATA'!O:O,'RAW DATA'!D:D,'RAW DATA'!D97)&gt;5000,"High Value","Normal")</f>
        <v>Normal</v>
      </c>
      <c r="C97" s="11" t="s">
        <v>45</v>
      </c>
      <c r="D97" s="3">
        <f t="shared" si="3"/>
        <v>35</v>
      </c>
      <c r="F97" s="11" t="s">
        <v>103</v>
      </c>
      <c r="G97" s="3">
        <f t="shared" si="4"/>
        <v>5</v>
      </c>
      <c r="I97" s="2" t="s">
        <v>103</v>
      </c>
      <c r="J97" s="2" t="s">
        <v>22</v>
      </c>
      <c r="K97" t="str">
        <f t="shared" si="5"/>
        <v>Non Match</v>
      </c>
    </row>
    <row r="98" spans="1:11" ht="32.25" thickBot="1">
      <c r="A98" s="3" t="str">
        <f>IF(SUMIFS('RAW DATA'!O:O,'RAW DATA'!D:D,'RAW DATA'!D98)&gt;5000,"High Value","Normal")</f>
        <v>High Value</v>
      </c>
      <c r="C98" s="11" t="s">
        <v>115</v>
      </c>
      <c r="D98" s="3">
        <f t="shared" si="3"/>
        <v>14</v>
      </c>
      <c r="F98" s="11" t="s">
        <v>227</v>
      </c>
      <c r="G98" s="3">
        <f t="shared" si="4"/>
        <v>8</v>
      </c>
      <c r="I98" s="2" t="s">
        <v>227</v>
      </c>
      <c r="J98" s="2" t="s">
        <v>27</v>
      </c>
      <c r="K98" t="str">
        <f t="shared" si="5"/>
        <v>Non Match</v>
      </c>
    </row>
    <row r="99" spans="1:11" ht="21.75" thickBot="1">
      <c r="A99" s="3" t="str">
        <f>IF(SUMIFS('RAW DATA'!O:O,'RAW DATA'!D:D,'RAW DATA'!D99)&gt;5000,"High Value","Normal")</f>
        <v>High Value</v>
      </c>
      <c r="C99" s="11" t="s">
        <v>18</v>
      </c>
      <c r="D99" s="3">
        <f t="shared" si="3"/>
        <v>26</v>
      </c>
      <c r="F99" s="11" t="s">
        <v>145</v>
      </c>
      <c r="G99" s="3">
        <f t="shared" si="4"/>
        <v>4</v>
      </c>
      <c r="I99" s="2" t="s">
        <v>145</v>
      </c>
      <c r="J99" s="2" t="s">
        <v>36</v>
      </c>
      <c r="K99" t="str">
        <f t="shared" si="5"/>
        <v>Non Match</v>
      </c>
    </row>
    <row r="100" spans="1:11" ht="32.25" thickBot="1">
      <c r="A100" s="3" t="str">
        <f>IF(SUMIFS('RAW DATA'!O:O,'RAW DATA'!D:D,'RAW DATA'!D100)&gt;5000,"High Value","Normal")</f>
        <v>High Value</v>
      </c>
      <c r="C100" s="11" t="s">
        <v>81</v>
      </c>
      <c r="D100" s="3">
        <f t="shared" si="3"/>
        <v>31</v>
      </c>
      <c r="F100" s="11" t="s">
        <v>197</v>
      </c>
      <c r="G100" s="3">
        <f t="shared" si="4"/>
        <v>4</v>
      </c>
      <c r="I100" s="2" t="s">
        <v>197</v>
      </c>
      <c r="J100" s="2" t="s">
        <v>27</v>
      </c>
      <c r="K100" t="str">
        <f t="shared" si="5"/>
        <v>Non Match</v>
      </c>
    </row>
    <row r="101" spans="1:11" ht="21.75" thickBot="1">
      <c r="A101" s="3" t="str">
        <f>IF(SUMIFS('RAW DATA'!O:O,'RAW DATA'!D:D,'RAW DATA'!D101)&gt;5000,"High Value","Normal")</f>
        <v>Normal</v>
      </c>
      <c r="C101" s="11" t="s">
        <v>53</v>
      </c>
      <c r="D101" s="3">
        <f t="shared" si="3"/>
        <v>16</v>
      </c>
      <c r="F101" s="11" t="s">
        <v>232</v>
      </c>
      <c r="G101" s="3">
        <f t="shared" si="4"/>
        <v>3</v>
      </c>
      <c r="I101" s="2" t="s">
        <v>232</v>
      </c>
      <c r="J101" s="2" t="s">
        <v>27</v>
      </c>
      <c r="K101" t="str">
        <f t="shared" si="5"/>
        <v>Non Match</v>
      </c>
    </row>
    <row r="102" spans="1:11" ht="32.25" thickBot="1">
      <c r="A102" s="3" t="str">
        <f>IF(SUMIFS('RAW DATA'!O:O,'RAW DATA'!D:D,'RAW DATA'!D102)&gt;5000,"High Value","Normal")</f>
        <v>High Value</v>
      </c>
      <c r="C102" s="11" t="s">
        <v>81</v>
      </c>
      <c r="D102" s="3">
        <f t="shared" si="3"/>
        <v>31</v>
      </c>
      <c r="F102" s="11" t="s">
        <v>235</v>
      </c>
      <c r="G102" s="3">
        <f t="shared" si="4"/>
        <v>5</v>
      </c>
      <c r="I102" s="2" t="s">
        <v>235</v>
      </c>
      <c r="J102" s="2" t="s">
        <v>27</v>
      </c>
      <c r="K102" t="str">
        <f t="shared" si="5"/>
        <v>Non Match</v>
      </c>
    </row>
    <row r="103" spans="1:11" ht="21.75" thickBot="1">
      <c r="A103" s="3" t="str">
        <f>IF(SUMIFS('RAW DATA'!O:O,'RAW DATA'!D:D,'RAW DATA'!D103)&gt;5000,"High Value","Normal")</f>
        <v>Normal</v>
      </c>
      <c r="C103" s="11" t="s">
        <v>18</v>
      </c>
      <c r="D103" s="3">
        <f t="shared" si="3"/>
        <v>26</v>
      </c>
      <c r="F103" s="11" t="s">
        <v>232</v>
      </c>
      <c r="G103" s="3">
        <f t="shared" si="4"/>
        <v>3</v>
      </c>
      <c r="I103" s="2" t="s">
        <v>232</v>
      </c>
      <c r="J103" s="2" t="s">
        <v>27</v>
      </c>
      <c r="K103" t="str">
        <f t="shared" si="5"/>
        <v>Non Match</v>
      </c>
    </row>
    <row r="104" spans="1:11" ht="21.75" thickBot="1">
      <c r="A104" s="3" t="str">
        <f>IF(SUMIFS('RAW DATA'!O:O,'RAW DATA'!D:D,'RAW DATA'!D104)&gt;5000,"High Value","Normal")</f>
        <v>High Value</v>
      </c>
      <c r="C104" s="11" t="s">
        <v>18</v>
      </c>
      <c r="D104" s="3">
        <f t="shared" si="3"/>
        <v>26</v>
      </c>
      <c r="F104" s="11" t="s">
        <v>16</v>
      </c>
      <c r="G104" s="3">
        <f t="shared" si="4"/>
        <v>8</v>
      </c>
      <c r="I104" s="2" t="s">
        <v>16</v>
      </c>
      <c r="J104" s="2" t="s">
        <v>27</v>
      </c>
      <c r="K104" t="str">
        <f t="shared" si="5"/>
        <v>Non Match</v>
      </c>
    </row>
    <row r="105" spans="1:11" ht="32.25" thickBot="1">
      <c r="A105" s="3" t="str">
        <f>IF(SUMIFS('RAW DATA'!O:O,'RAW DATA'!D:D,'RAW DATA'!D105)&gt;5000,"High Value","Normal")</f>
        <v>High Value</v>
      </c>
      <c r="C105" s="11" t="s">
        <v>81</v>
      </c>
      <c r="D105" s="3">
        <f t="shared" si="3"/>
        <v>31</v>
      </c>
      <c r="F105" s="11" t="s">
        <v>227</v>
      </c>
      <c r="G105" s="3">
        <f t="shared" si="4"/>
        <v>8</v>
      </c>
      <c r="I105" s="2" t="s">
        <v>227</v>
      </c>
      <c r="J105" s="2" t="s">
        <v>27</v>
      </c>
      <c r="K105" t="str">
        <f t="shared" si="5"/>
        <v>Non Match</v>
      </c>
    </row>
    <row r="106" spans="1:11" ht="21.75" thickBot="1">
      <c r="A106" s="3" t="str">
        <f>IF(SUMIFS('RAW DATA'!O:O,'RAW DATA'!D:D,'RAW DATA'!D106)&gt;5000,"High Value","Normal")</f>
        <v>Normal</v>
      </c>
      <c r="C106" s="11" t="s">
        <v>32</v>
      </c>
      <c r="D106" s="3">
        <f t="shared" si="3"/>
        <v>29</v>
      </c>
      <c r="F106" s="11" t="s">
        <v>139</v>
      </c>
      <c r="G106" s="3">
        <f t="shared" si="4"/>
        <v>6</v>
      </c>
      <c r="I106" s="2" t="s">
        <v>139</v>
      </c>
      <c r="J106" s="2" t="s">
        <v>27</v>
      </c>
      <c r="K106" t="str">
        <f t="shared" si="5"/>
        <v>Non Match</v>
      </c>
    </row>
    <row r="107" spans="1:11" ht="21.75" thickBot="1">
      <c r="A107" s="3" t="str">
        <f>IF(SUMIFS('RAW DATA'!O:O,'RAW DATA'!D:D,'RAW DATA'!D107)&gt;5000,"High Value","Normal")</f>
        <v>Normal</v>
      </c>
      <c r="C107" s="11" t="s">
        <v>32</v>
      </c>
      <c r="D107" s="3">
        <f t="shared" si="3"/>
        <v>29</v>
      </c>
      <c r="F107" s="11" t="s">
        <v>133</v>
      </c>
      <c r="G107" s="3">
        <f t="shared" si="4"/>
        <v>5</v>
      </c>
      <c r="I107" s="2" t="s">
        <v>133</v>
      </c>
      <c r="J107" s="2" t="s">
        <v>36</v>
      </c>
      <c r="K107" t="str">
        <f t="shared" si="5"/>
        <v>Non Match</v>
      </c>
    </row>
    <row r="108" spans="1:11" ht="32.25" thickBot="1">
      <c r="A108" s="3" t="str">
        <f>IF(SUMIFS('RAW DATA'!O:O,'RAW DATA'!D:D,'RAW DATA'!D108)&gt;5000,"High Value","Normal")</f>
        <v>Normal</v>
      </c>
      <c r="C108" s="11" t="s">
        <v>115</v>
      </c>
      <c r="D108" s="3">
        <f t="shared" si="3"/>
        <v>14</v>
      </c>
      <c r="F108" s="11" t="s">
        <v>142</v>
      </c>
      <c r="G108" s="3">
        <f t="shared" si="4"/>
        <v>4</v>
      </c>
      <c r="I108" s="2" t="s">
        <v>142</v>
      </c>
      <c r="J108" s="2" t="s">
        <v>22</v>
      </c>
      <c r="K108" t="str">
        <f t="shared" si="5"/>
        <v>Non Match</v>
      </c>
    </row>
    <row r="109" spans="1:11" ht="21.75" thickBot="1">
      <c r="A109" s="3" t="str">
        <f>IF(SUMIFS('RAW DATA'!O:O,'RAW DATA'!D:D,'RAW DATA'!D109)&gt;5000,"High Value","Normal")</f>
        <v>High Value</v>
      </c>
      <c r="C109" s="11" t="s">
        <v>115</v>
      </c>
      <c r="D109" s="3">
        <f t="shared" si="3"/>
        <v>14</v>
      </c>
      <c r="F109" s="11" t="s">
        <v>56</v>
      </c>
      <c r="G109" s="3">
        <f t="shared" si="4"/>
        <v>9</v>
      </c>
      <c r="I109" s="2" t="s">
        <v>56</v>
      </c>
      <c r="J109" s="2" t="s">
        <v>22</v>
      </c>
      <c r="K109" t="str">
        <f t="shared" si="5"/>
        <v>Non Match</v>
      </c>
    </row>
    <row r="110" spans="1:11" ht="32.25" thickBot="1">
      <c r="A110" s="3" t="str">
        <f>IF(SUMIFS('RAW DATA'!O:O,'RAW DATA'!D:D,'RAW DATA'!D110)&gt;5000,"High Value","Normal")</f>
        <v>High Value</v>
      </c>
      <c r="C110" s="11" t="s">
        <v>106</v>
      </c>
      <c r="D110" s="3">
        <f t="shared" si="3"/>
        <v>26</v>
      </c>
      <c r="F110" s="11" t="s">
        <v>49</v>
      </c>
      <c r="G110" s="3">
        <f t="shared" si="4"/>
        <v>6</v>
      </c>
      <c r="I110" s="2" t="s">
        <v>49</v>
      </c>
      <c r="J110" s="2" t="s">
        <v>27</v>
      </c>
      <c r="K110" t="str">
        <f t="shared" si="5"/>
        <v>Non Match</v>
      </c>
    </row>
    <row r="111" spans="1:11" ht="32.25" thickBot="1">
      <c r="A111" s="3" t="str">
        <f>IF(SUMIFS('RAW DATA'!O:O,'RAW DATA'!D:D,'RAW DATA'!D111)&gt;5000,"High Value","Normal")</f>
        <v>Normal</v>
      </c>
      <c r="C111" s="11" t="s">
        <v>118</v>
      </c>
      <c r="D111" s="3">
        <f t="shared" si="3"/>
        <v>34</v>
      </c>
      <c r="F111" s="11" t="s">
        <v>39</v>
      </c>
      <c r="G111" s="3">
        <f t="shared" si="4"/>
        <v>6</v>
      </c>
      <c r="I111" s="2" t="s">
        <v>39</v>
      </c>
      <c r="J111" s="2" t="s">
        <v>27</v>
      </c>
      <c r="K111" t="str">
        <f t="shared" si="5"/>
        <v>Non Match</v>
      </c>
    </row>
    <row r="112" spans="1:11" ht="21.75" thickBot="1">
      <c r="A112" s="3" t="str">
        <f>IF(SUMIFS('RAW DATA'!O:O,'RAW DATA'!D:D,'RAW DATA'!D112)&gt;5000,"High Value","Normal")</f>
        <v>Normal</v>
      </c>
      <c r="C112" s="11" t="s">
        <v>53</v>
      </c>
      <c r="D112" s="3">
        <f t="shared" si="3"/>
        <v>16</v>
      </c>
      <c r="F112" s="11" t="s">
        <v>247</v>
      </c>
      <c r="G112" s="3">
        <f t="shared" si="4"/>
        <v>3</v>
      </c>
      <c r="I112" s="2" t="s">
        <v>247</v>
      </c>
      <c r="J112" s="2" t="s">
        <v>22</v>
      </c>
      <c r="K112" t="str">
        <f t="shared" si="5"/>
        <v>Non Match</v>
      </c>
    </row>
    <row r="113" spans="1:11" ht="21.75" thickBot="1">
      <c r="A113" s="3" t="str">
        <f>IF(SUMIFS('RAW DATA'!O:O,'RAW DATA'!D:D,'RAW DATA'!D113)&gt;5000,"High Value","Normal")</f>
        <v>High Value</v>
      </c>
      <c r="C113" s="11" t="s">
        <v>18</v>
      </c>
      <c r="D113" s="3">
        <f t="shared" si="3"/>
        <v>26</v>
      </c>
      <c r="F113" s="11" t="s">
        <v>66</v>
      </c>
      <c r="G113" s="3">
        <f t="shared" si="4"/>
        <v>8</v>
      </c>
      <c r="I113" s="2" t="s">
        <v>66</v>
      </c>
      <c r="J113" s="2" t="s">
        <v>22</v>
      </c>
      <c r="K113" t="str">
        <f t="shared" si="5"/>
        <v>Non Match</v>
      </c>
    </row>
    <row r="114" spans="1:11" ht="21.75" thickBot="1">
      <c r="A114" s="3" t="str">
        <f>IF(SUMIFS('RAW DATA'!O:O,'RAW DATA'!D:D,'RAW DATA'!D114)&gt;5000,"High Value","Normal")</f>
        <v>High Value</v>
      </c>
      <c r="C114" s="11" t="s">
        <v>127</v>
      </c>
      <c r="D114" s="3">
        <f t="shared" si="3"/>
        <v>15</v>
      </c>
      <c r="F114" s="11" t="s">
        <v>155</v>
      </c>
      <c r="G114" s="3">
        <f t="shared" si="4"/>
        <v>5</v>
      </c>
      <c r="I114" s="2" t="s">
        <v>155</v>
      </c>
      <c r="J114" s="2" t="s">
        <v>22</v>
      </c>
      <c r="K114" t="str">
        <f t="shared" si="5"/>
        <v>Non Match</v>
      </c>
    </row>
    <row r="115" spans="1:11" ht="21.75" thickBot="1">
      <c r="A115" s="3" t="str">
        <f>IF(SUMIFS('RAW DATA'!O:O,'RAW DATA'!D:D,'RAW DATA'!D115)&gt;5000,"High Value","Normal")</f>
        <v>High Value</v>
      </c>
      <c r="C115" s="11" t="s">
        <v>118</v>
      </c>
      <c r="D115" s="3">
        <f t="shared" si="3"/>
        <v>34</v>
      </c>
      <c r="F115" s="11" t="s">
        <v>148</v>
      </c>
      <c r="G115" s="3">
        <f t="shared" si="4"/>
        <v>7</v>
      </c>
      <c r="I115" s="2" t="s">
        <v>148</v>
      </c>
      <c r="J115" s="2" t="s">
        <v>27</v>
      </c>
      <c r="K115" t="str">
        <f t="shared" si="5"/>
        <v>Non Match</v>
      </c>
    </row>
    <row r="116" spans="1:11" ht="32.25" thickBot="1">
      <c r="A116" s="3" t="str">
        <f>IF(SUMIFS('RAW DATA'!O:O,'RAW DATA'!D:D,'RAW DATA'!D116)&gt;5000,"High Value","Normal")</f>
        <v>Normal</v>
      </c>
      <c r="C116" s="11" t="s">
        <v>53</v>
      </c>
      <c r="D116" s="3">
        <f t="shared" si="3"/>
        <v>16</v>
      </c>
      <c r="F116" s="11" t="s">
        <v>253</v>
      </c>
      <c r="G116" s="3">
        <f t="shared" si="4"/>
        <v>3</v>
      </c>
      <c r="I116" s="2" t="s">
        <v>253</v>
      </c>
      <c r="J116" s="2" t="s">
        <v>36</v>
      </c>
      <c r="K116" t="str">
        <f t="shared" si="5"/>
        <v>Non Match</v>
      </c>
    </row>
    <row r="117" spans="1:11" ht="32.25" thickBot="1">
      <c r="A117" s="3" t="str">
        <f>IF(SUMIFS('RAW DATA'!O:O,'RAW DATA'!D:D,'RAW DATA'!D117)&gt;5000,"High Value","Normal")</f>
        <v>High Value</v>
      </c>
      <c r="C117" s="11" t="s">
        <v>81</v>
      </c>
      <c r="D117" s="3">
        <f t="shared" si="3"/>
        <v>31</v>
      </c>
      <c r="F117" s="11" t="s">
        <v>73</v>
      </c>
      <c r="G117" s="3">
        <f t="shared" si="4"/>
        <v>5</v>
      </c>
      <c r="I117" s="2" t="s">
        <v>73</v>
      </c>
      <c r="J117" s="2" t="s">
        <v>22</v>
      </c>
      <c r="K117" t="str">
        <f t="shared" si="5"/>
        <v>Non Match</v>
      </c>
    </row>
    <row r="118" spans="1:11" ht="32.25" thickBot="1">
      <c r="A118" s="3" t="str">
        <f>IF(SUMIFS('RAW DATA'!O:O,'RAW DATA'!D:D,'RAW DATA'!D118)&gt;5000,"High Value","Normal")</f>
        <v>High Value</v>
      </c>
      <c r="C118" s="11" t="s">
        <v>62</v>
      </c>
      <c r="D118" s="3">
        <f t="shared" si="3"/>
        <v>24</v>
      </c>
      <c r="F118" s="11" t="s">
        <v>235</v>
      </c>
      <c r="G118" s="3">
        <f t="shared" si="4"/>
        <v>5</v>
      </c>
      <c r="I118" s="2" t="s">
        <v>235</v>
      </c>
      <c r="J118" s="2" t="s">
        <v>36</v>
      </c>
      <c r="K118" t="str">
        <f t="shared" si="5"/>
        <v>Non Match</v>
      </c>
    </row>
    <row r="119" spans="1:11" ht="21.75" thickBot="1">
      <c r="A119" s="3" t="str">
        <f>IF(SUMIFS('RAW DATA'!O:O,'RAW DATA'!D:D,'RAW DATA'!D119)&gt;5000,"High Value","Normal")</f>
        <v>Normal</v>
      </c>
      <c r="C119" s="11" t="s">
        <v>45</v>
      </c>
      <c r="D119" s="3">
        <f t="shared" si="3"/>
        <v>35</v>
      </c>
      <c r="F119" s="11" t="s">
        <v>113</v>
      </c>
      <c r="G119" s="3">
        <f t="shared" si="4"/>
        <v>4</v>
      </c>
      <c r="I119" s="2" t="s">
        <v>113</v>
      </c>
      <c r="J119" s="2" t="s">
        <v>22</v>
      </c>
      <c r="K119" t="str">
        <f t="shared" si="5"/>
        <v>Non Match</v>
      </c>
    </row>
    <row r="120" spans="1:11" ht="32.25" thickBot="1">
      <c r="A120" s="3" t="str">
        <f>IF(SUMIFS('RAW DATA'!O:O,'RAW DATA'!D:D,'RAW DATA'!D120)&gt;5000,"High Value","Normal")</f>
        <v>High Value</v>
      </c>
      <c r="C120" s="11" t="s">
        <v>106</v>
      </c>
      <c r="D120" s="3">
        <f t="shared" si="3"/>
        <v>26</v>
      </c>
      <c r="F120" s="11" t="s">
        <v>100</v>
      </c>
      <c r="G120" s="3">
        <f t="shared" si="4"/>
        <v>8</v>
      </c>
      <c r="I120" s="2" t="s">
        <v>100</v>
      </c>
      <c r="J120" s="2" t="s">
        <v>22</v>
      </c>
      <c r="K120" t="str">
        <f t="shared" si="5"/>
        <v>Non Match</v>
      </c>
    </row>
    <row r="121" spans="1:11" ht="21.75" thickBot="1">
      <c r="A121" s="3" t="str">
        <f>IF(SUMIFS('RAW DATA'!O:O,'RAW DATA'!D:D,'RAW DATA'!D121)&gt;5000,"High Value","Normal")</f>
        <v>Normal</v>
      </c>
      <c r="C121" s="11" t="s">
        <v>127</v>
      </c>
      <c r="D121" s="3">
        <f t="shared" si="3"/>
        <v>15</v>
      </c>
      <c r="F121" s="11" t="s">
        <v>260</v>
      </c>
      <c r="G121" s="3">
        <f t="shared" si="4"/>
        <v>3</v>
      </c>
      <c r="I121" s="2" t="s">
        <v>260</v>
      </c>
      <c r="J121" s="2" t="s">
        <v>36</v>
      </c>
      <c r="K121" t="str">
        <f t="shared" si="5"/>
        <v>Non Match</v>
      </c>
    </row>
    <row r="122" spans="1:11" ht="32.25" thickBot="1">
      <c r="A122" s="3" t="str">
        <f>IF(SUMIFS('RAW DATA'!O:O,'RAW DATA'!D:D,'RAW DATA'!D122)&gt;5000,"High Value","Normal")</f>
        <v>High Value</v>
      </c>
      <c r="C122" s="11" t="s">
        <v>106</v>
      </c>
      <c r="D122" s="3">
        <f t="shared" si="3"/>
        <v>26</v>
      </c>
      <c r="F122" s="11" t="s">
        <v>43</v>
      </c>
      <c r="G122" s="3">
        <f t="shared" si="4"/>
        <v>9</v>
      </c>
      <c r="I122" s="2" t="s">
        <v>43</v>
      </c>
      <c r="J122" s="2" t="s">
        <v>27</v>
      </c>
      <c r="K122" t="str">
        <f t="shared" si="5"/>
        <v>Non Match</v>
      </c>
    </row>
    <row r="123" spans="1:11" ht="21.75" thickBot="1">
      <c r="A123" s="3" t="str">
        <f>IF(SUMIFS('RAW DATA'!O:O,'RAW DATA'!D:D,'RAW DATA'!D123)&gt;5000,"High Value","Normal")</f>
        <v>Normal</v>
      </c>
      <c r="C123" s="11" t="s">
        <v>32</v>
      </c>
      <c r="D123" s="3">
        <f t="shared" si="3"/>
        <v>29</v>
      </c>
      <c r="F123" s="11" t="s">
        <v>90</v>
      </c>
      <c r="G123" s="3">
        <f t="shared" si="4"/>
        <v>4</v>
      </c>
      <c r="I123" s="2" t="s">
        <v>90</v>
      </c>
      <c r="J123" s="2" t="s">
        <v>22</v>
      </c>
      <c r="K123" t="str">
        <f t="shared" si="5"/>
        <v>Non Match</v>
      </c>
    </row>
    <row r="124" spans="1:11" ht="32.25" thickBot="1">
      <c r="A124" s="3" t="str">
        <f>IF(SUMIFS('RAW DATA'!O:O,'RAW DATA'!D:D,'RAW DATA'!D124)&gt;5000,"High Value","Normal")</f>
        <v>High Value</v>
      </c>
      <c r="C124" s="11" t="s">
        <v>53</v>
      </c>
      <c r="D124" s="3">
        <f t="shared" si="3"/>
        <v>16</v>
      </c>
      <c r="F124" s="11" t="s">
        <v>235</v>
      </c>
      <c r="G124" s="3">
        <f t="shared" si="4"/>
        <v>5</v>
      </c>
      <c r="I124" s="2" t="s">
        <v>235</v>
      </c>
      <c r="J124" s="2" t="s">
        <v>27</v>
      </c>
      <c r="K124" t="str">
        <f t="shared" si="5"/>
        <v>Non Match</v>
      </c>
    </row>
    <row r="125" spans="1:11" ht="21.75" thickBot="1">
      <c r="A125" s="3" t="str">
        <f>IF(SUMIFS('RAW DATA'!O:O,'RAW DATA'!D:D,'RAW DATA'!D125)&gt;5000,"High Value","Normal")</f>
        <v>Normal</v>
      </c>
      <c r="C125" s="11" t="s">
        <v>81</v>
      </c>
      <c r="D125" s="3">
        <f t="shared" si="3"/>
        <v>31</v>
      </c>
      <c r="F125" s="11" t="s">
        <v>212</v>
      </c>
      <c r="G125" s="3">
        <f t="shared" si="4"/>
        <v>4</v>
      </c>
      <c r="I125" s="2" t="s">
        <v>212</v>
      </c>
      <c r="J125" s="2" t="s">
        <v>27</v>
      </c>
      <c r="K125" t="str">
        <f t="shared" si="5"/>
        <v>Non Match</v>
      </c>
    </row>
    <row r="126" spans="1:11" ht="21.75" thickBot="1">
      <c r="A126" s="3" t="str">
        <f>IF(SUMIFS('RAW DATA'!O:O,'RAW DATA'!D:D,'RAW DATA'!D126)&gt;5000,"High Value","Normal")</f>
        <v>Normal</v>
      </c>
      <c r="C126" s="11" t="s">
        <v>45</v>
      </c>
      <c r="D126" s="3">
        <f t="shared" si="3"/>
        <v>35</v>
      </c>
      <c r="F126" s="11" t="s">
        <v>232</v>
      </c>
      <c r="G126" s="3">
        <f t="shared" si="4"/>
        <v>3</v>
      </c>
      <c r="I126" s="2" t="s">
        <v>232</v>
      </c>
      <c r="J126" s="2" t="s">
        <v>36</v>
      </c>
      <c r="K126" t="str">
        <f t="shared" si="5"/>
        <v>Non Match</v>
      </c>
    </row>
    <row r="127" spans="1:11" ht="21.75" thickBot="1">
      <c r="A127" s="3" t="str">
        <f>IF(SUMIFS('RAW DATA'!O:O,'RAW DATA'!D:D,'RAW DATA'!D127)&gt;5000,"High Value","Normal")</f>
        <v>High Value</v>
      </c>
      <c r="C127" s="11" t="s">
        <v>106</v>
      </c>
      <c r="D127" s="3">
        <f t="shared" si="3"/>
        <v>26</v>
      </c>
      <c r="F127" s="11" t="s">
        <v>148</v>
      </c>
      <c r="G127" s="3">
        <f t="shared" si="4"/>
        <v>7</v>
      </c>
      <c r="I127" s="2" t="s">
        <v>148</v>
      </c>
      <c r="J127" s="2" t="s">
        <v>36</v>
      </c>
      <c r="K127" t="str">
        <f t="shared" si="5"/>
        <v>Non Match</v>
      </c>
    </row>
    <row r="128" spans="1:11" ht="32.25" thickBot="1">
      <c r="A128" s="3" t="str">
        <f>IF(SUMIFS('RAW DATA'!O:O,'RAW DATA'!D:D,'RAW DATA'!D128)&gt;5000,"High Value","Normal")</f>
        <v>Normal</v>
      </c>
      <c r="C128" s="11" t="s">
        <v>62</v>
      </c>
      <c r="D128" s="3">
        <f t="shared" si="3"/>
        <v>24</v>
      </c>
      <c r="F128" s="11" t="s">
        <v>84</v>
      </c>
      <c r="G128" s="3">
        <f t="shared" si="4"/>
        <v>3</v>
      </c>
      <c r="I128" s="2" t="s">
        <v>84</v>
      </c>
      <c r="J128" s="2" t="s">
        <v>22</v>
      </c>
      <c r="K128" t="str">
        <f t="shared" si="5"/>
        <v>Non Match</v>
      </c>
    </row>
    <row r="129" spans="1:11" ht="21.75" thickBot="1">
      <c r="A129" s="3" t="str">
        <f>IF(SUMIFS('RAW DATA'!O:O,'RAW DATA'!D:D,'RAW DATA'!D129)&gt;5000,"High Value","Normal")</f>
        <v>High Value</v>
      </c>
      <c r="C129" s="11" t="s">
        <v>81</v>
      </c>
      <c r="D129" s="3">
        <f t="shared" si="3"/>
        <v>31</v>
      </c>
      <c r="F129" s="11" t="s">
        <v>97</v>
      </c>
      <c r="G129" s="3">
        <f t="shared" si="4"/>
        <v>5</v>
      </c>
      <c r="I129" s="2" t="s">
        <v>97</v>
      </c>
      <c r="J129" s="2" t="s">
        <v>36</v>
      </c>
      <c r="K129" t="str">
        <f t="shared" si="5"/>
        <v>Non Match</v>
      </c>
    </row>
    <row r="130" spans="1:11" ht="32.25" thickBot="1">
      <c r="A130" s="3" t="str">
        <f>IF(SUMIFS('RAW DATA'!O:O,'RAW DATA'!D:D,'RAW DATA'!D130)&gt;5000,"High Value","Normal")</f>
        <v>Normal</v>
      </c>
      <c r="C130" s="11" t="s">
        <v>81</v>
      </c>
      <c r="D130" s="3">
        <f t="shared" si="3"/>
        <v>31</v>
      </c>
      <c r="F130" s="11" t="s">
        <v>172</v>
      </c>
      <c r="G130" s="3">
        <f t="shared" si="4"/>
        <v>4</v>
      </c>
      <c r="I130" s="2" t="s">
        <v>172</v>
      </c>
      <c r="J130" s="2" t="s">
        <v>22</v>
      </c>
      <c r="K130" t="str">
        <f t="shared" si="5"/>
        <v>Non Match</v>
      </c>
    </row>
    <row r="131" spans="1:11" ht="21.75" thickBot="1">
      <c r="A131" s="3" t="str">
        <f>IF(SUMIFS('RAW DATA'!O:O,'RAW DATA'!D:D,'RAW DATA'!D131)&gt;5000,"High Value","Normal")</f>
        <v>High Value</v>
      </c>
      <c r="C131" s="11" t="s">
        <v>62</v>
      </c>
      <c r="D131" s="3">
        <f t="shared" ref="D131:D194" si="6">COUNTIF(C:C,C131)</f>
        <v>24</v>
      </c>
      <c r="F131" s="11" t="s">
        <v>151</v>
      </c>
      <c r="G131" s="3">
        <f t="shared" ref="G131:G194" si="7">COUNTIF(F:F,F131)</f>
        <v>6</v>
      </c>
      <c r="I131" s="2" t="s">
        <v>151</v>
      </c>
      <c r="J131" s="2" t="s">
        <v>36</v>
      </c>
      <c r="K131" t="str">
        <f t="shared" ref="K131:K194" si="8">IF(COUNTIF(J131:J380,I131)&gt;0,"Match","Non Match")</f>
        <v>Non Match</v>
      </c>
    </row>
    <row r="132" spans="1:11" ht="32.25" thickBot="1">
      <c r="A132" s="3" t="str">
        <f>IF(SUMIFS('RAW DATA'!O:O,'RAW DATA'!D:D,'RAW DATA'!D132)&gt;5000,"High Value","Normal")</f>
        <v>High Value</v>
      </c>
      <c r="C132" s="11" t="s">
        <v>53</v>
      </c>
      <c r="D132" s="3">
        <f t="shared" si="6"/>
        <v>16</v>
      </c>
      <c r="F132" s="11" t="s">
        <v>227</v>
      </c>
      <c r="G132" s="3">
        <f t="shared" si="7"/>
        <v>8</v>
      </c>
      <c r="I132" s="2" t="s">
        <v>227</v>
      </c>
      <c r="J132" s="2" t="s">
        <v>22</v>
      </c>
      <c r="K132" t="str">
        <f t="shared" si="8"/>
        <v>Non Match</v>
      </c>
    </row>
    <row r="133" spans="1:11" ht="32.25" thickBot="1">
      <c r="A133" s="3" t="str">
        <f>IF(SUMIFS('RAW DATA'!O:O,'RAW DATA'!D:D,'RAW DATA'!D133)&gt;5000,"High Value","Normal")</f>
        <v>High Value</v>
      </c>
      <c r="C133" s="11" t="s">
        <v>118</v>
      </c>
      <c r="D133" s="3">
        <f t="shared" si="6"/>
        <v>34</v>
      </c>
      <c r="F133" s="11" t="s">
        <v>227</v>
      </c>
      <c r="G133" s="3">
        <f t="shared" si="7"/>
        <v>8</v>
      </c>
      <c r="I133" s="2" t="s">
        <v>227</v>
      </c>
      <c r="J133" s="2" t="s">
        <v>22</v>
      </c>
      <c r="K133" t="str">
        <f t="shared" si="8"/>
        <v>Non Match</v>
      </c>
    </row>
    <row r="134" spans="1:11" ht="32.25" thickBot="1">
      <c r="A134" s="3" t="str">
        <f>IF(SUMIFS('RAW DATA'!O:O,'RAW DATA'!D:D,'RAW DATA'!D134)&gt;5000,"High Value","Normal")</f>
        <v>Normal</v>
      </c>
      <c r="C134" s="11" t="s">
        <v>53</v>
      </c>
      <c r="D134" s="3">
        <f t="shared" si="6"/>
        <v>16</v>
      </c>
      <c r="F134" s="11" t="s">
        <v>39</v>
      </c>
      <c r="G134" s="3">
        <f t="shared" si="7"/>
        <v>6</v>
      </c>
      <c r="I134" s="2" t="s">
        <v>39</v>
      </c>
      <c r="J134" s="2" t="s">
        <v>22</v>
      </c>
      <c r="K134" t="str">
        <f t="shared" si="8"/>
        <v>Non Match</v>
      </c>
    </row>
    <row r="135" spans="1:11" ht="21.75" thickBot="1">
      <c r="A135" s="3" t="str">
        <f>IF(SUMIFS('RAW DATA'!O:O,'RAW DATA'!D:D,'RAW DATA'!D135)&gt;5000,"High Value","Normal")</f>
        <v>High Value</v>
      </c>
      <c r="C135" s="11" t="s">
        <v>81</v>
      </c>
      <c r="D135" s="3">
        <f t="shared" si="6"/>
        <v>31</v>
      </c>
      <c r="F135" s="11" t="s">
        <v>155</v>
      </c>
      <c r="G135" s="3">
        <f t="shared" si="7"/>
        <v>5</v>
      </c>
      <c r="I135" s="2" t="s">
        <v>155</v>
      </c>
      <c r="J135" s="2" t="s">
        <v>22</v>
      </c>
      <c r="K135" t="str">
        <f t="shared" si="8"/>
        <v>Non Match</v>
      </c>
    </row>
    <row r="136" spans="1:11" ht="32.25" thickBot="1">
      <c r="A136" s="3" t="str">
        <f>IF(SUMIFS('RAW DATA'!O:O,'RAW DATA'!D:D,'RAW DATA'!D136)&gt;5000,"High Value","Normal")</f>
        <v>High Value</v>
      </c>
      <c r="C136" s="11" t="s">
        <v>81</v>
      </c>
      <c r="D136" s="3">
        <f t="shared" si="6"/>
        <v>31</v>
      </c>
      <c r="F136" s="11" t="s">
        <v>159</v>
      </c>
      <c r="G136" s="3">
        <f t="shared" si="7"/>
        <v>5</v>
      </c>
      <c r="I136" s="2" t="s">
        <v>159</v>
      </c>
      <c r="J136" s="2" t="s">
        <v>27</v>
      </c>
      <c r="K136" t="str">
        <f t="shared" si="8"/>
        <v>Non Match</v>
      </c>
    </row>
    <row r="137" spans="1:11" ht="32.25" thickBot="1">
      <c r="A137" s="3" t="str">
        <f>IF(SUMIFS('RAW DATA'!O:O,'RAW DATA'!D:D,'RAW DATA'!D137)&gt;5000,"High Value","Normal")</f>
        <v>Normal</v>
      </c>
      <c r="C137" s="11" t="s">
        <v>118</v>
      </c>
      <c r="D137" s="3">
        <f t="shared" si="6"/>
        <v>34</v>
      </c>
      <c r="F137" s="11" t="s">
        <v>172</v>
      </c>
      <c r="G137" s="3">
        <f t="shared" si="7"/>
        <v>4</v>
      </c>
      <c r="I137" s="2" t="s">
        <v>172</v>
      </c>
      <c r="J137" s="2" t="s">
        <v>36</v>
      </c>
      <c r="K137" t="str">
        <f t="shared" si="8"/>
        <v>Non Match</v>
      </c>
    </row>
    <row r="138" spans="1:11" ht="21.75" thickBot="1">
      <c r="A138" s="3" t="str">
        <f>IF(SUMIFS('RAW DATA'!O:O,'RAW DATA'!D:D,'RAW DATA'!D138)&gt;5000,"High Value","Normal")</f>
        <v>High Value</v>
      </c>
      <c r="C138" s="11" t="s">
        <v>18</v>
      </c>
      <c r="D138" s="3">
        <f t="shared" si="6"/>
        <v>26</v>
      </c>
      <c r="F138" s="11" t="s">
        <v>16</v>
      </c>
      <c r="G138" s="3">
        <f t="shared" si="7"/>
        <v>8</v>
      </c>
      <c r="I138" s="2" t="s">
        <v>16</v>
      </c>
      <c r="J138" s="2" t="s">
        <v>36</v>
      </c>
      <c r="K138" t="str">
        <f t="shared" si="8"/>
        <v>Non Match</v>
      </c>
    </row>
    <row r="139" spans="1:11" ht="21.75" thickBot="1">
      <c r="A139" s="3" t="str">
        <f>IF(SUMIFS('RAW DATA'!O:O,'RAW DATA'!D:D,'RAW DATA'!D139)&gt;5000,"High Value","Normal")</f>
        <v>High Value</v>
      </c>
      <c r="C139" s="11" t="s">
        <v>106</v>
      </c>
      <c r="D139" s="3">
        <f t="shared" si="6"/>
        <v>26</v>
      </c>
      <c r="F139" s="11" t="s">
        <v>66</v>
      </c>
      <c r="G139" s="3">
        <f t="shared" si="7"/>
        <v>8</v>
      </c>
      <c r="I139" s="2" t="s">
        <v>66</v>
      </c>
      <c r="J139" s="2" t="s">
        <v>36</v>
      </c>
      <c r="K139" t="str">
        <f t="shared" si="8"/>
        <v>Non Match</v>
      </c>
    </row>
    <row r="140" spans="1:11" ht="32.25" thickBot="1">
      <c r="A140" s="3" t="str">
        <f>IF(SUMIFS('RAW DATA'!O:O,'RAW DATA'!D:D,'RAW DATA'!D140)&gt;5000,"High Value","Normal")</f>
        <v>High Value</v>
      </c>
      <c r="C140" s="11" t="s">
        <v>118</v>
      </c>
      <c r="D140" s="3">
        <f t="shared" si="6"/>
        <v>34</v>
      </c>
      <c r="F140" s="11" t="s">
        <v>100</v>
      </c>
      <c r="G140" s="3">
        <f t="shared" si="7"/>
        <v>8</v>
      </c>
      <c r="I140" s="2" t="s">
        <v>100</v>
      </c>
      <c r="J140" s="2" t="s">
        <v>27</v>
      </c>
      <c r="K140" t="str">
        <f t="shared" si="8"/>
        <v>Non Match</v>
      </c>
    </row>
    <row r="141" spans="1:11" ht="21.75" thickBot="1">
      <c r="A141" s="3" t="str">
        <f>IF(SUMIFS('RAW DATA'!O:O,'RAW DATA'!D:D,'RAW DATA'!D141)&gt;5000,"High Value","Normal")</f>
        <v>Normal</v>
      </c>
      <c r="C141" s="11" t="s">
        <v>45</v>
      </c>
      <c r="D141" s="3">
        <f t="shared" si="6"/>
        <v>35</v>
      </c>
      <c r="F141" s="11" t="s">
        <v>90</v>
      </c>
      <c r="G141" s="3">
        <f t="shared" si="7"/>
        <v>4</v>
      </c>
      <c r="I141" s="2" t="s">
        <v>90</v>
      </c>
      <c r="J141" s="2" t="s">
        <v>27</v>
      </c>
      <c r="K141" t="str">
        <f t="shared" si="8"/>
        <v>Non Match</v>
      </c>
    </row>
    <row r="142" spans="1:11" ht="32.25" thickBot="1">
      <c r="A142" s="3" t="str">
        <f>IF(SUMIFS('RAW DATA'!O:O,'RAW DATA'!D:D,'RAW DATA'!D142)&gt;5000,"High Value","Normal")</f>
        <v>Normal</v>
      </c>
      <c r="C142" s="11" t="s">
        <v>18</v>
      </c>
      <c r="D142" s="3">
        <f t="shared" si="6"/>
        <v>26</v>
      </c>
      <c r="F142" s="11" t="s">
        <v>186</v>
      </c>
      <c r="G142" s="3">
        <f t="shared" si="7"/>
        <v>4</v>
      </c>
      <c r="I142" s="2" t="s">
        <v>186</v>
      </c>
      <c r="J142" s="2" t="s">
        <v>27</v>
      </c>
      <c r="K142" t="str">
        <f t="shared" si="8"/>
        <v>Non Match</v>
      </c>
    </row>
    <row r="143" spans="1:11" ht="32.25" thickBot="1">
      <c r="A143" s="3" t="str">
        <f>IF(SUMIFS('RAW DATA'!O:O,'RAW DATA'!D:D,'RAW DATA'!D143)&gt;5000,"High Value","Normal")</f>
        <v>High Value</v>
      </c>
      <c r="C143" s="11" t="s">
        <v>53</v>
      </c>
      <c r="D143" s="3">
        <f t="shared" si="6"/>
        <v>16</v>
      </c>
      <c r="F143" s="11" t="s">
        <v>73</v>
      </c>
      <c r="G143" s="3">
        <f t="shared" si="7"/>
        <v>5</v>
      </c>
      <c r="I143" s="2" t="s">
        <v>73</v>
      </c>
      <c r="J143" s="2" t="s">
        <v>22</v>
      </c>
      <c r="K143" t="str">
        <f t="shared" si="8"/>
        <v>Non Match</v>
      </c>
    </row>
    <row r="144" spans="1:11" ht="21.75" thickBot="1">
      <c r="A144" s="3" t="str">
        <f>IF(SUMIFS('RAW DATA'!O:O,'RAW DATA'!D:D,'RAW DATA'!D144)&gt;5000,"High Value","Normal")</f>
        <v>High Value</v>
      </c>
      <c r="C144" s="11" t="s">
        <v>32</v>
      </c>
      <c r="D144" s="3">
        <f t="shared" si="6"/>
        <v>29</v>
      </c>
      <c r="F144" s="11" t="s">
        <v>16</v>
      </c>
      <c r="G144" s="3">
        <f t="shared" si="7"/>
        <v>8</v>
      </c>
      <c r="I144" s="2" t="s">
        <v>16</v>
      </c>
      <c r="J144" s="2" t="s">
        <v>27</v>
      </c>
      <c r="K144" t="str">
        <f t="shared" si="8"/>
        <v>Non Match</v>
      </c>
    </row>
    <row r="145" spans="1:11" ht="32.25" thickBot="1">
      <c r="A145" s="3" t="str">
        <f>IF(SUMIFS('RAW DATA'!O:O,'RAW DATA'!D:D,'RAW DATA'!D145)&gt;5000,"High Value","Normal")</f>
        <v>High Value</v>
      </c>
      <c r="C145" s="11" t="s">
        <v>18</v>
      </c>
      <c r="D145" s="3">
        <f t="shared" si="6"/>
        <v>26</v>
      </c>
      <c r="F145" s="11" t="s">
        <v>100</v>
      </c>
      <c r="G145" s="3">
        <f t="shared" si="7"/>
        <v>8</v>
      </c>
      <c r="I145" s="2" t="s">
        <v>100</v>
      </c>
      <c r="J145" s="2" t="s">
        <v>36</v>
      </c>
      <c r="K145" t="str">
        <f t="shared" si="8"/>
        <v>Non Match</v>
      </c>
    </row>
    <row r="146" spans="1:11" ht="21.75" thickBot="1">
      <c r="A146" s="3" t="str">
        <f>IF(SUMIFS('RAW DATA'!O:O,'RAW DATA'!D:D,'RAW DATA'!D146)&gt;5000,"High Value","Normal")</f>
        <v>High Value</v>
      </c>
      <c r="C146" s="11" t="s">
        <v>45</v>
      </c>
      <c r="D146" s="3">
        <f t="shared" si="6"/>
        <v>35</v>
      </c>
      <c r="F146" s="11" t="s">
        <v>155</v>
      </c>
      <c r="G146" s="3">
        <f t="shared" si="7"/>
        <v>5</v>
      </c>
      <c r="I146" s="2" t="s">
        <v>155</v>
      </c>
      <c r="J146" s="2" t="s">
        <v>22</v>
      </c>
      <c r="K146" t="str">
        <f t="shared" si="8"/>
        <v>Non Match</v>
      </c>
    </row>
    <row r="147" spans="1:11" ht="32.25" thickBot="1">
      <c r="A147" s="3" t="str">
        <f>IF(SUMIFS('RAW DATA'!O:O,'RAW DATA'!D:D,'RAW DATA'!D147)&gt;5000,"High Value","Normal")</f>
        <v>Normal</v>
      </c>
      <c r="C147" s="11" t="s">
        <v>32</v>
      </c>
      <c r="D147" s="3">
        <f t="shared" si="6"/>
        <v>29</v>
      </c>
      <c r="F147" s="11" t="s">
        <v>84</v>
      </c>
      <c r="G147" s="3">
        <f t="shared" si="7"/>
        <v>3</v>
      </c>
      <c r="I147" s="2" t="s">
        <v>84</v>
      </c>
      <c r="J147" s="2" t="s">
        <v>36</v>
      </c>
      <c r="K147" t="str">
        <f t="shared" si="8"/>
        <v>Non Match</v>
      </c>
    </row>
    <row r="148" spans="1:11" ht="32.25" thickBot="1">
      <c r="A148" s="3" t="str">
        <f>IF(SUMIFS('RAW DATA'!O:O,'RAW DATA'!D:D,'RAW DATA'!D148)&gt;5000,"High Value","Normal")</f>
        <v>High Value</v>
      </c>
      <c r="C148" s="11" t="s">
        <v>45</v>
      </c>
      <c r="D148" s="3">
        <f t="shared" si="6"/>
        <v>35</v>
      </c>
      <c r="F148" s="11" t="s">
        <v>235</v>
      </c>
      <c r="G148" s="3">
        <f t="shared" si="7"/>
        <v>5</v>
      </c>
      <c r="I148" s="2" t="s">
        <v>235</v>
      </c>
      <c r="J148" s="2" t="s">
        <v>22</v>
      </c>
      <c r="K148" t="str">
        <f t="shared" si="8"/>
        <v>Non Match</v>
      </c>
    </row>
    <row r="149" spans="1:11" ht="21.75" thickBot="1">
      <c r="A149" s="3" t="str">
        <f>IF(SUMIFS('RAW DATA'!O:O,'RAW DATA'!D:D,'RAW DATA'!D149)&gt;5000,"High Value","Normal")</f>
        <v>High Value</v>
      </c>
      <c r="C149" s="11" t="s">
        <v>81</v>
      </c>
      <c r="D149" s="3">
        <f t="shared" si="6"/>
        <v>31</v>
      </c>
      <c r="F149" s="11" t="s">
        <v>87</v>
      </c>
      <c r="G149" s="3">
        <f t="shared" si="7"/>
        <v>12</v>
      </c>
      <c r="I149" s="2" t="s">
        <v>87</v>
      </c>
      <c r="J149" s="2" t="s">
        <v>36</v>
      </c>
      <c r="K149" t="str">
        <f t="shared" si="8"/>
        <v>Non Match</v>
      </c>
    </row>
    <row r="150" spans="1:11" ht="32.25" thickBot="1">
      <c r="A150" s="3" t="str">
        <f>IF(SUMIFS('RAW DATA'!O:O,'RAW DATA'!D:D,'RAW DATA'!D150)&gt;5000,"High Value","Normal")</f>
        <v>High Value</v>
      </c>
      <c r="C150" s="11" t="s">
        <v>127</v>
      </c>
      <c r="D150" s="3">
        <f t="shared" si="6"/>
        <v>15</v>
      </c>
      <c r="F150" s="11" t="s">
        <v>124</v>
      </c>
      <c r="G150" s="3">
        <f t="shared" si="7"/>
        <v>6</v>
      </c>
      <c r="I150" s="2" t="s">
        <v>124</v>
      </c>
      <c r="J150" s="2" t="s">
        <v>27</v>
      </c>
      <c r="K150" t="str">
        <f t="shared" si="8"/>
        <v>Non Match</v>
      </c>
    </row>
    <row r="151" spans="1:11" ht="21.75" thickBot="1">
      <c r="A151" s="3" t="str">
        <f>IF(SUMIFS('RAW DATA'!O:O,'RAW DATA'!D:D,'RAW DATA'!D151)&gt;5000,"High Value","Normal")</f>
        <v>Normal</v>
      </c>
      <c r="C151" s="11" t="s">
        <v>32</v>
      </c>
      <c r="D151" s="3">
        <f t="shared" si="6"/>
        <v>29</v>
      </c>
      <c r="F151" s="11" t="s">
        <v>193</v>
      </c>
      <c r="G151" s="3">
        <f t="shared" si="7"/>
        <v>5</v>
      </c>
      <c r="I151" s="2" t="s">
        <v>193</v>
      </c>
      <c r="J151" s="2" t="s">
        <v>36</v>
      </c>
      <c r="K151" t="str">
        <f t="shared" si="8"/>
        <v>Non Match</v>
      </c>
    </row>
    <row r="152" spans="1:11" ht="21.75" thickBot="1">
      <c r="A152" s="3" t="str">
        <f>IF(SUMIFS('RAW DATA'!O:O,'RAW DATA'!D:D,'RAW DATA'!D152)&gt;5000,"High Value","Normal")</f>
        <v>High Value</v>
      </c>
      <c r="C152" s="11" t="s">
        <v>81</v>
      </c>
      <c r="D152" s="3">
        <f t="shared" si="6"/>
        <v>31</v>
      </c>
      <c r="F152" s="11" t="s">
        <v>155</v>
      </c>
      <c r="G152" s="3">
        <f t="shared" si="7"/>
        <v>5</v>
      </c>
      <c r="I152" s="2" t="s">
        <v>155</v>
      </c>
      <c r="J152" s="2" t="s">
        <v>36</v>
      </c>
      <c r="K152" t="str">
        <f t="shared" si="8"/>
        <v>Non Match</v>
      </c>
    </row>
    <row r="153" spans="1:11" ht="32.25" thickBot="1">
      <c r="A153" s="3" t="str">
        <f>IF(SUMIFS('RAW DATA'!O:O,'RAW DATA'!D:D,'RAW DATA'!D153)&gt;5000,"High Value","Normal")</f>
        <v>Normal</v>
      </c>
      <c r="C153" s="11" t="s">
        <v>18</v>
      </c>
      <c r="D153" s="3">
        <f t="shared" si="6"/>
        <v>26</v>
      </c>
      <c r="F153" s="11" t="s">
        <v>294</v>
      </c>
      <c r="G153" s="3">
        <f t="shared" si="7"/>
        <v>4</v>
      </c>
      <c r="I153" s="2" t="s">
        <v>294</v>
      </c>
      <c r="J153" s="2" t="s">
        <v>22</v>
      </c>
      <c r="K153" t="str">
        <f t="shared" si="8"/>
        <v>Non Match</v>
      </c>
    </row>
    <row r="154" spans="1:11" ht="21.75" thickBot="1">
      <c r="A154" s="3" t="str">
        <f>IF(SUMIFS('RAW DATA'!O:O,'RAW DATA'!D:D,'RAW DATA'!D154)&gt;5000,"High Value","Normal")</f>
        <v>Normal</v>
      </c>
      <c r="C154" s="11" t="s">
        <v>45</v>
      </c>
      <c r="D154" s="3">
        <f t="shared" si="6"/>
        <v>35</v>
      </c>
      <c r="F154" s="11" t="s">
        <v>113</v>
      </c>
      <c r="G154" s="3">
        <f t="shared" si="7"/>
        <v>4</v>
      </c>
      <c r="I154" s="2" t="s">
        <v>113</v>
      </c>
      <c r="J154" s="2" t="s">
        <v>36</v>
      </c>
      <c r="K154" t="str">
        <f t="shared" si="8"/>
        <v>Non Match</v>
      </c>
    </row>
    <row r="155" spans="1:11" ht="21.75" thickBot="1">
      <c r="A155" s="3" t="str">
        <f>IF(SUMIFS('RAW DATA'!O:O,'RAW DATA'!D:D,'RAW DATA'!D155)&gt;5000,"High Value","Normal")</f>
        <v>Normal</v>
      </c>
      <c r="C155" s="11" t="s">
        <v>106</v>
      </c>
      <c r="D155" s="3">
        <f t="shared" si="6"/>
        <v>26</v>
      </c>
      <c r="F155" s="11" t="s">
        <v>30</v>
      </c>
      <c r="G155" s="3">
        <f t="shared" si="7"/>
        <v>6</v>
      </c>
      <c r="I155" s="2" t="s">
        <v>30</v>
      </c>
      <c r="J155" s="2" t="s">
        <v>27</v>
      </c>
      <c r="K155" t="str">
        <f t="shared" si="8"/>
        <v>Non Match</v>
      </c>
    </row>
    <row r="156" spans="1:11" ht="21.75" thickBot="1">
      <c r="A156" s="3" t="str">
        <f>IF(SUMIFS('RAW DATA'!O:O,'RAW DATA'!D:D,'RAW DATA'!D156)&gt;5000,"High Value","Normal")</f>
        <v>High Value</v>
      </c>
      <c r="C156" s="11" t="s">
        <v>18</v>
      </c>
      <c r="D156" s="3">
        <f t="shared" si="6"/>
        <v>26</v>
      </c>
      <c r="F156" s="11" t="s">
        <v>56</v>
      </c>
      <c r="G156" s="3">
        <f t="shared" si="7"/>
        <v>9</v>
      </c>
      <c r="I156" s="2" t="s">
        <v>56</v>
      </c>
      <c r="J156" s="2" t="s">
        <v>27</v>
      </c>
      <c r="K156" t="str">
        <f t="shared" si="8"/>
        <v>Non Match</v>
      </c>
    </row>
    <row r="157" spans="1:11" ht="32.25" thickBot="1">
      <c r="A157" s="3" t="str">
        <f>IF(SUMIFS('RAW DATA'!O:O,'RAW DATA'!D:D,'RAW DATA'!D157)&gt;5000,"High Value","Normal")</f>
        <v>High Value</v>
      </c>
      <c r="C157" s="11" t="s">
        <v>53</v>
      </c>
      <c r="D157" s="3">
        <f t="shared" si="6"/>
        <v>16</v>
      </c>
      <c r="F157" s="11" t="s">
        <v>25</v>
      </c>
      <c r="G157" s="3">
        <f t="shared" si="7"/>
        <v>5</v>
      </c>
      <c r="I157" s="2" t="s">
        <v>25</v>
      </c>
      <c r="J157" s="2" t="s">
        <v>27</v>
      </c>
      <c r="K157" t="str">
        <f t="shared" si="8"/>
        <v>Non Match</v>
      </c>
    </row>
    <row r="158" spans="1:11" ht="21.75" thickBot="1">
      <c r="A158" s="3" t="str">
        <f>IF(SUMIFS('RAW DATA'!O:O,'RAW DATA'!D:D,'RAW DATA'!D158)&gt;5000,"High Value","Normal")</f>
        <v>High Value</v>
      </c>
      <c r="C158" s="11" t="s">
        <v>81</v>
      </c>
      <c r="D158" s="3">
        <f t="shared" si="6"/>
        <v>31</v>
      </c>
      <c r="F158" s="11" t="s">
        <v>87</v>
      </c>
      <c r="G158" s="3">
        <f t="shared" si="7"/>
        <v>12</v>
      </c>
      <c r="I158" s="2" t="s">
        <v>87</v>
      </c>
      <c r="J158" s="2" t="s">
        <v>36</v>
      </c>
      <c r="K158" t="str">
        <f t="shared" si="8"/>
        <v>Non Match</v>
      </c>
    </row>
    <row r="159" spans="1:11" ht="32.25" thickBot="1">
      <c r="A159" s="3" t="str">
        <f>IF(SUMIFS('RAW DATA'!O:O,'RAW DATA'!D:D,'RAW DATA'!D159)&gt;5000,"High Value","Normal")</f>
        <v>Normal</v>
      </c>
      <c r="C159" s="11" t="s">
        <v>18</v>
      </c>
      <c r="D159" s="3">
        <f t="shared" si="6"/>
        <v>26</v>
      </c>
      <c r="F159" s="11" t="s">
        <v>253</v>
      </c>
      <c r="G159" s="3">
        <f t="shared" si="7"/>
        <v>3</v>
      </c>
      <c r="I159" s="2" t="s">
        <v>253</v>
      </c>
      <c r="J159" s="2" t="s">
        <v>27</v>
      </c>
      <c r="K159" t="str">
        <f t="shared" si="8"/>
        <v>Non Match</v>
      </c>
    </row>
    <row r="160" spans="1:11" ht="32.25" thickBot="1">
      <c r="A160" s="3" t="str">
        <f>IF(SUMIFS('RAW DATA'!O:O,'RAW DATA'!D:D,'RAW DATA'!D160)&gt;5000,"High Value","Normal")</f>
        <v>High Value</v>
      </c>
      <c r="C160" s="11" t="s">
        <v>81</v>
      </c>
      <c r="D160" s="3">
        <f t="shared" si="6"/>
        <v>31</v>
      </c>
      <c r="F160" s="11" t="s">
        <v>49</v>
      </c>
      <c r="G160" s="3">
        <f t="shared" si="7"/>
        <v>6</v>
      </c>
      <c r="I160" s="2" t="s">
        <v>49</v>
      </c>
      <c r="J160" s="2" t="s">
        <v>27</v>
      </c>
      <c r="K160" t="str">
        <f t="shared" si="8"/>
        <v>Non Match</v>
      </c>
    </row>
    <row r="161" spans="1:11" ht="21.75" thickBot="1">
      <c r="A161" s="3" t="str">
        <f>IF(SUMIFS('RAW DATA'!O:O,'RAW DATA'!D:D,'RAW DATA'!D161)&gt;5000,"High Value","Normal")</f>
        <v>Normal</v>
      </c>
      <c r="C161" s="11" t="s">
        <v>18</v>
      </c>
      <c r="D161" s="3">
        <f t="shared" si="6"/>
        <v>26</v>
      </c>
      <c r="F161" s="11" t="s">
        <v>109</v>
      </c>
      <c r="G161" s="3">
        <f t="shared" si="7"/>
        <v>6</v>
      </c>
      <c r="I161" s="2" t="s">
        <v>109</v>
      </c>
      <c r="J161" s="2" t="s">
        <v>27</v>
      </c>
      <c r="K161" t="str">
        <f t="shared" si="8"/>
        <v>Non Match</v>
      </c>
    </row>
    <row r="162" spans="1:11" ht="32.25" thickBot="1">
      <c r="A162" s="3" t="str">
        <f>IF(SUMIFS('RAW DATA'!O:O,'RAW DATA'!D:D,'RAW DATA'!D162)&gt;5000,"High Value","Normal")</f>
        <v>Normal</v>
      </c>
      <c r="C162" s="11" t="s">
        <v>32</v>
      </c>
      <c r="D162" s="3">
        <f t="shared" si="6"/>
        <v>29</v>
      </c>
      <c r="F162" s="11" t="s">
        <v>305</v>
      </c>
      <c r="G162" s="3">
        <f t="shared" si="7"/>
        <v>1</v>
      </c>
      <c r="I162" s="2" t="s">
        <v>305</v>
      </c>
      <c r="J162" s="2" t="s">
        <v>27</v>
      </c>
      <c r="K162" t="str">
        <f t="shared" si="8"/>
        <v>Non Match</v>
      </c>
    </row>
    <row r="163" spans="1:11" ht="32.25" thickBot="1">
      <c r="A163" s="3" t="str">
        <f>IF(SUMIFS('RAW DATA'!O:O,'RAW DATA'!D:D,'RAW DATA'!D163)&gt;5000,"High Value","Normal")</f>
        <v>Normal</v>
      </c>
      <c r="C163" s="11" t="s">
        <v>115</v>
      </c>
      <c r="D163" s="3">
        <f t="shared" si="6"/>
        <v>14</v>
      </c>
      <c r="F163" s="11" t="s">
        <v>142</v>
      </c>
      <c r="G163" s="3">
        <f t="shared" si="7"/>
        <v>4</v>
      </c>
      <c r="I163" s="2" t="s">
        <v>142</v>
      </c>
      <c r="J163" s="2" t="s">
        <v>36</v>
      </c>
      <c r="K163" t="str">
        <f t="shared" si="8"/>
        <v>Non Match</v>
      </c>
    </row>
    <row r="164" spans="1:11" ht="21.75" thickBot="1">
      <c r="A164" s="3" t="str">
        <f>IF(SUMIFS('RAW DATA'!O:O,'RAW DATA'!D:D,'RAW DATA'!D164)&gt;5000,"High Value","Normal")</f>
        <v>High Value</v>
      </c>
      <c r="C164" s="11" t="s">
        <v>115</v>
      </c>
      <c r="D164" s="3">
        <f t="shared" si="6"/>
        <v>14</v>
      </c>
      <c r="F164" s="11" t="s">
        <v>121</v>
      </c>
      <c r="G164" s="3">
        <f t="shared" si="7"/>
        <v>7</v>
      </c>
      <c r="I164" s="2" t="s">
        <v>121</v>
      </c>
      <c r="J164" s="2" t="s">
        <v>36</v>
      </c>
      <c r="K164" t="str">
        <f t="shared" si="8"/>
        <v>Non Match</v>
      </c>
    </row>
    <row r="165" spans="1:11" ht="32.25" thickBot="1">
      <c r="A165" s="3" t="str">
        <f>IF(SUMIFS('RAW DATA'!O:O,'RAW DATA'!D:D,'RAW DATA'!D165)&gt;5000,"High Value","Normal")</f>
        <v>High Value</v>
      </c>
      <c r="C165" s="11" t="s">
        <v>62</v>
      </c>
      <c r="D165" s="3">
        <f t="shared" si="6"/>
        <v>24</v>
      </c>
      <c r="F165" s="11" t="s">
        <v>73</v>
      </c>
      <c r="G165" s="3">
        <f t="shared" si="7"/>
        <v>5</v>
      </c>
      <c r="I165" s="2" t="s">
        <v>73</v>
      </c>
      <c r="J165" s="2" t="s">
        <v>22</v>
      </c>
      <c r="K165" t="str">
        <f t="shared" si="8"/>
        <v>Non Match</v>
      </c>
    </row>
    <row r="166" spans="1:11" ht="32.25" thickBot="1">
      <c r="A166" s="3" t="str">
        <f>IF(SUMIFS('RAW DATA'!O:O,'RAW DATA'!D:D,'RAW DATA'!D166)&gt;5000,"High Value","Normal")</f>
        <v>Normal</v>
      </c>
      <c r="C166" s="11" t="s">
        <v>45</v>
      </c>
      <c r="D166" s="3">
        <f t="shared" si="6"/>
        <v>35</v>
      </c>
      <c r="F166" s="11" t="s">
        <v>183</v>
      </c>
      <c r="G166" s="3">
        <f t="shared" si="7"/>
        <v>6</v>
      </c>
      <c r="I166" s="2" t="s">
        <v>183</v>
      </c>
      <c r="J166" s="2" t="s">
        <v>36</v>
      </c>
      <c r="K166" t="str">
        <f t="shared" si="8"/>
        <v>Non Match</v>
      </c>
    </row>
    <row r="167" spans="1:11" ht="21.75" thickBot="1">
      <c r="A167" s="3" t="str">
        <f>IF(SUMIFS('RAW DATA'!O:O,'RAW DATA'!D:D,'RAW DATA'!D167)&gt;5000,"High Value","Normal")</f>
        <v>Normal</v>
      </c>
      <c r="C167" s="11" t="s">
        <v>106</v>
      </c>
      <c r="D167" s="3">
        <f t="shared" si="6"/>
        <v>26</v>
      </c>
      <c r="F167" s="11" t="s">
        <v>139</v>
      </c>
      <c r="G167" s="3">
        <f t="shared" si="7"/>
        <v>6</v>
      </c>
      <c r="I167" s="2" t="s">
        <v>139</v>
      </c>
      <c r="J167" s="2" t="s">
        <v>27</v>
      </c>
      <c r="K167" t="str">
        <f t="shared" si="8"/>
        <v>Non Match</v>
      </c>
    </row>
    <row r="168" spans="1:11" ht="21.75" thickBot="1">
      <c r="A168" s="3" t="str">
        <f>IF(SUMIFS('RAW DATA'!O:O,'RAW DATA'!D:D,'RAW DATA'!D168)&gt;5000,"High Value","Normal")</f>
        <v>Normal</v>
      </c>
      <c r="C168" s="11" t="s">
        <v>32</v>
      </c>
      <c r="D168" s="3">
        <f t="shared" si="6"/>
        <v>29</v>
      </c>
      <c r="F168" s="11" t="s">
        <v>133</v>
      </c>
      <c r="G168" s="3">
        <f t="shared" si="7"/>
        <v>5</v>
      </c>
      <c r="I168" s="2" t="s">
        <v>133</v>
      </c>
      <c r="J168" s="2" t="s">
        <v>22</v>
      </c>
      <c r="K168" t="str">
        <f t="shared" si="8"/>
        <v>Non Match</v>
      </c>
    </row>
    <row r="169" spans="1:11" ht="32.25" thickBot="1">
      <c r="A169" s="3" t="str">
        <f>IF(SUMIFS('RAW DATA'!O:O,'RAW DATA'!D:D,'RAW DATA'!D169)&gt;5000,"High Value","Normal")</f>
        <v>Normal</v>
      </c>
      <c r="C169" s="11" t="s">
        <v>118</v>
      </c>
      <c r="D169" s="3">
        <f t="shared" si="6"/>
        <v>34</v>
      </c>
      <c r="F169" s="11" t="s">
        <v>183</v>
      </c>
      <c r="G169" s="3">
        <f t="shared" si="7"/>
        <v>6</v>
      </c>
      <c r="I169" s="2" t="s">
        <v>183</v>
      </c>
      <c r="J169" s="2" t="s">
        <v>36</v>
      </c>
      <c r="K169" t="str">
        <f t="shared" si="8"/>
        <v>Non Match</v>
      </c>
    </row>
    <row r="170" spans="1:11" ht="21.75" thickBot="1">
      <c r="A170" s="3" t="str">
        <f>IF(SUMIFS('RAW DATA'!O:O,'RAW DATA'!D:D,'RAW DATA'!D170)&gt;5000,"High Value","Normal")</f>
        <v>High Value</v>
      </c>
      <c r="C170" s="11" t="s">
        <v>62</v>
      </c>
      <c r="D170" s="3">
        <f t="shared" si="6"/>
        <v>24</v>
      </c>
      <c r="F170" s="11" t="s">
        <v>148</v>
      </c>
      <c r="G170" s="3">
        <f t="shared" si="7"/>
        <v>7</v>
      </c>
      <c r="I170" s="2" t="s">
        <v>148</v>
      </c>
      <c r="J170" s="2" t="s">
        <v>36</v>
      </c>
      <c r="K170" t="str">
        <f t="shared" si="8"/>
        <v>Non Match</v>
      </c>
    </row>
    <row r="171" spans="1:11" ht="32.25" thickBot="1">
      <c r="A171" s="3" t="str">
        <f>IF(SUMIFS('RAW DATA'!O:O,'RAW DATA'!D:D,'RAW DATA'!D171)&gt;5000,"High Value","Normal")</f>
        <v>High Value</v>
      </c>
      <c r="C171" s="11" t="s">
        <v>45</v>
      </c>
      <c r="D171" s="3">
        <f t="shared" si="6"/>
        <v>35</v>
      </c>
      <c r="F171" s="11" t="s">
        <v>43</v>
      </c>
      <c r="G171" s="3">
        <f t="shared" si="7"/>
        <v>9</v>
      </c>
      <c r="I171" s="2" t="s">
        <v>43</v>
      </c>
      <c r="J171" s="2" t="s">
        <v>22</v>
      </c>
      <c r="K171" t="str">
        <f t="shared" si="8"/>
        <v>Non Match</v>
      </c>
    </row>
    <row r="172" spans="1:11" ht="21.75" thickBot="1">
      <c r="A172" s="3" t="str">
        <f>IF(SUMIFS('RAW DATA'!O:O,'RAW DATA'!D:D,'RAW DATA'!D172)&gt;5000,"High Value","Normal")</f>
        <v>Normal</v>
      </c>
      <c r="C172" s="11" t="s">
        <v>53</v>
      </c>
      <c r="D172" s="3">
        <f t="shared" si="6"/>
        <v>16</v>
      </c>
      <c r="F172" s="11" t="s">
        <v>113</v>
      </c>
      <c r="G172" s="3">
        <f t="shared" si="7"/>
        <v>4</v>
      </c>
      <c r="I172" s="2" t="s">
        <v>113</v>
      </c>
      <c r="J172" s="2" t="s">
        <v>27</v>
      </c>
      <c r="K172" t="str">
        <f t="shared" si="8"/>
        <v>Non Match</v>
      </c>
    </row>
    <row r="173" spans="1:11" ht="32.25" thickBot="1">
      <c r="A173" s="3" t="str">
        <f>IF(SUMIFS('RAW DATA'!O:O,'RAW DATA'!D:D,'RAW DATA'!D173)&gt;5000,"High Value","Normal")</f>
        <v>Normal</v>
      </c>
      <c r="C173" s="11" t="s">
        <v>45</v>
      </c>
      <c r="D173" s="3">
        <f t="shared" si="6"/>
        <v>35</v>
      </c>
      <c r="F173" s="11" t="s">
        <v>183</v>
      </c>
      <c r="G173" s="3">
        <f t="shared" si="7"/>
        <v>6</v>
      </c>
      <c r="I173" s="2" t="s">
        <v>183</v>
      </c>
      <c r="J173" s="2" t="s">
        <v>36</v>
      </c>
      <c r="K173" t="str">
        <f t="shared" si="8"/>
        <v>Non Match</v>
      </c>
    </row>
    <row r="174" spans="1:11" ht="21.75" thickBot="1">
      <c r="A174" s="3" t="str">
        <f>IF(SUMIFS('RAW DATA'!O:O,'RAW DATA'!D:D,'RAW DATA'!D174)&gt;5000,"High Value","Normal")</f>
        <v>Normal</v>
      </c>
      <c r="C174" s="11" t="s">
        <v>106</v>
      </c>
      <c r="D174" s="3">
        <f t="shared" si="6"/>
        <v>26</v>
      </c>
      <c r="F174" s="11" t="s">
        <v>30</v>
      </c>
      <c r="G174" s="3">
        <f t="shared" si="7"/>
        <v>6</v>
      </c>
      <c r="I174" s="2" t="s">
        <v>30</v>
      </c>
      <c r="J174" s="2" t="s">
        <v>22</v>
      </c>
      <c r="K174" t="str">
        <f t="shared" si="8"/>
        <v>Non Match</v>
      </c>
    </row>
    <row r="175" spans="1:11" ht="32.25" thickBot="1">
      <c r="A175" s="3" t="str">
        <f>IF(SUMIFS('RAW DATA'!O:O,'RAW DATA'!D:D,'RAW DATA'!D175)&gt;5000,"High Value","Normal")</f>
        <v>High Value</v>
      </c>
      <c r="C175" s="11" t="s">
        <v>106</v>
      </c>
      <c r="D175" s="3">
        <f t="shared" si="6"/>
        <v>26</v>
      </c>
      <c r="F175" s="11" t="s">
        <v>43</v>
      </c>
      <c r="G175" s="3">
        <f t="shared" si="7"/>
        <v>9</v>
      </c>
      <c r="I175" s="2" t="s">
        <v>43</v>
      </c>
      <c r="J175" s="2" t="s">
        <v>22</v>
      </c>
      <c r="K175" t="str">
        <f t="shared" si="8"/>
        <v>Non Match</v>
      </c>
    </row>
    <row r="176" spans="1:11" ht="21.75" thickBot="1">
      <c r="A176" s="3" t="str">
        <f>IF(SUMIFS('RAW DATA'!O:O,'RAW DATA'!D:D,'RAW DATA'!D176)&gt;5000,"High Value","Normal")</f>
        <v>High Value</v>
      </c>
      <c r="C176" s="11" t="s">
        <v>127</v>
      </c>
      <c r="D176" s="3">
        <f t="shared" si="6"/>
        <v>15</v>
      </c>
      <c r="F176" s="11" t="s">
        <v>121</v>
      </c>
      <c r="G176" s="3">
        <f t="shared" si="7"/>
        <v>7</v>
      </c>
      <c r="I176" s="2" t="s">
        <v>121</v>
      </c>
      <c r="J176" s="2" t="s">
        <v>22</v>
      </c>
      <c r="K176" t="str">
        <f t="shared" si="8"/>
        <v>Non Match</v>
      </c>
    </row>
    <row r="177" spans="1:11" ht="32.25" thickBot="1">
      <c r="A177" s="3" t="str">
        <f>IF(SUMIFS('RAW DATA'!O:O,'RAW DATA'!D:D,'RAW DATA'!D177)&gt;5000,"High Value","Normal")</f>
        <v>Normal</v>
      </c>
      <c r="C177" s="11" t="s">
        <v>118</v>
      </c>
      <c r="D177" s="3">
        <f t="shared" si="6"/>
        <v>34</v>
      </c>
      <c r="F177" s="11" t="s">
        <v>60</v>
      </c>
      <c r="G177" s="3">
        <f t="shared" si="7"/>
        <v>5</v>
      </c>
      <c r="I177" s="2" t="s">
        <v>60</v>
      </c>
      <c r="J177" s="2" t="s">
        <v>27</v>
      </c>
      <c r="K177" t="str">
        <f t="shared" si="8"/>
        <v>Non Match</v>
      </c>
    </row>
    <row r="178" spans="1:11" ht="21.75" thickBot="1">
      <c r="A178" s="3" t="str">
        <f>IF(SUMIFS('RAW DATA'!O:O,'RAW DATA'!D:D,'RAW DATA'!D178)&gt;5000,"High Value","Normal")</f>
        <v>Normal</v>
      </c>
      <c r="C178" s="11" t="s">
        <v>45</v>
      </c>
      <c r="D178" s="3">
        <f t="shared" si="6"/>
        <v>35</v>
      </c>
      <c r="F178" s="11" t="s">
        <v>109</v>
      </c>
      <c r="G178" s="3">
        <f t="shared" si="7"/>
        <v>6</v>
      </c>
      <c r="I178" s="2" t="s">
        <v>109</v>
      </c>
      <c r="J178" s="2" t="s">
        <v>27</v>
      </c>
      <c r="K178" t="str">
        <f t="shared" si="8"/>
        <v>Non Match</v>
      </c>
    </row>
    <row r="179" spans="1:11" ht="21.75" thickBot="1">
      <c r="A179" s="3" t="str">
        <f>IF(SUMIFS('RAW DATA'!O:O,'RAW DATA'!D:D,'RAW DATA'!D179)&gt;5000,"High Value","Normal")</f>
        <v>High Value</v>
      </c>
      <c r="C179" s="11" t="s">
        <v>62</v>
      </c>
      <c r="D179" s="3">
        <f t="shared" si="6"/>
        <v>24</v>
      </c>
      <c r="F179" s="11" t="s">
        <v>87</v>
      </c>
      <c r="G179" s="3">
        <f t="shared" si="7"/>
        <v>12</v>
      </c>
      <c r="I179" s="2" t="s">
        <v>87</v>
      </c>
      <c r="J179" s="2" t="s">
        <v>27</v>
      </c>
      <c r="K179" t="str">
        <f t="shared" si="8"/>
        <v>Non Match</v>
      </c>
    </row>
    <row r="180" spans="1:11" ht="21.75" thickBot="1">
      <c r="A180" s="3" t="str">
        <f>IF(SUMIFS('RAW DATA'!O:O,'RAW DATA'!D:D,'RAW DATA'!D180)&gt;5000,"High Value","Normal")</f>
        <v>High Value</v>
      </c>
      <c r="C180" s="11" t="s">
        <v>118</v>
      </c>
      <c r="D180" s="3">
        <f t="shared" si="6"/>
        <v>34</v>
      </c>
      <c r="F180" s="11" t="s">
        <v>148</v>
      </c>
      <c r="G180" s="3">
        <f t="shared" si="7"/>
        <v>7</v>
      </c>
      <c r="I180" s="2" t="s">
        <v>148</v>
      </c>
      <c r="J180" s="2" t="s">
        <v>27</v>
      </c>
      <c r="K180" t="str">
        <f t="shared" si="8"/>
        <v>Non Match</v>
      </c>
    </row>
    <row r="181" spans="1:11" ht="32.25" thickBot="1">
      <c r="A181" s="3" t="str">
        <f>IF(SUMIFS('RAW DATA'!O:O,'RAW DATA'!D:D,'RAW DATA'!D181)&gt;5000,"High Value","Normal")</f>
        <v>Normal</v>
      </c>
      <c r="C181" s="11" t="s">
        <v>62</v>
      </c>
      <c r="D181" s="3">
        <f t="shared" si="6"/>
        <v>24</v>
      </c>
      <c r="F181" s="11" t="s">
        <v>326</v>
      </c>
      <c r="G181" s="3">
        <f t="shared" si="7"/>
        <v>3</v>
      </c>
      <c r="I181" s="2" t="s">
        <v>326</v>
      </c>
      <c r="J181" s="2" t="s">
        <v>36</v>
      </c>
      <c r="K181" t="str">
        <f t="shared" si="8"/>
        <v>Non Match</v>
      </c>
    </row>
    <row r="182" spans="1:11" ht="21.75" thickBot="1">
      <c r="A182" s="3" t="str">
        <f>IF(SUMIFS('RAW DATA'!O:O,'RAW DATA'!D:D,'RAW DATA'!D182)&gt;5000,"High Value","Normal")</f>
        <v>Normal</v>
      </c>
      <c r="C182" s="11" t="s">
        <v>53</v>
      </c>
      <c r="D182" s="3">
        <f t="shared" si="6"/>
        <v>16</v>
      </c>
      <c r="F182" s="11" t="s">
        <v>130</v>
      </c>
      <c r="G182" s="3">
        <f t="shared" si="7"/>
        <v>5</v>
      </c>
      <c r="I182" s="2" t="s">
        <v>130</v>
      </c>
      <c r="J182" s="2" t="s">
        <v>27</v>
      </c>
      <c r="K182" t="str">
        <f t="shared" si="8"/>
        <v>Non Match</v>
      </c>
    </row>
    <row r="183" spans="1:11" ht="32.25" thickBot="1">
      <c r="A183" s="3" t="str">
        <f>IF(SUMIFS('RAW DATA'!O:O,'RAW DATA'!D:D,'RAW DATA'!D183)&gt;5000,"High Value","Normal")</f>
        <v>High Value</v>
      </c>
      <c r="C183" s="11" t="s">
        <v>106</v>
      </c>
      <c r="D183" s="3">
        <f t="shared" si="6"/>
        <v>26</v>
      </c>
      <c r="F183" s="11" t="s">
        <v>43</v>
      </c>
      <c r="G183" s="3">
        <f t="shared" si="7"/>
        <v>9</v>
      </c>
      <c r="I183" s="2" t="s">
        <v>43</v>
      </c>
      <c r="J183" s="2" t="s">
        <v>36</v>
      </c>
      <c r="K183" t="str">
        <f t="shared" si="8"/>
        <v>Non Match</v>
      </c>
    </row>
    <row r="184" spans="1:11" ht="21.75" thickBot="1">
      <c r="A184" s="3" t="str">
        <f>IF(SUMIFS('RAW DATA'!O:O,'RAW DATA'!D:D,'RAW DATA'!D184)&gt;5000,"High Value","Normal")</f>
        <v>High Value</v>
      </c>
      <c r="C184" s="11" t="s">
        <v>81</v>
      </c>
      <c r="D184" s="3">
        <f t="shared" si="6"/>
        <v>31</v>
      </c>
      <c r="F184" s="11" t="s">
        <v>66</v>
      </c>
      <c r="G184" s="3">
        <f t="shared" si="7"/>
        <v>8</v>
      </c>
      <c r="I184" s="2" t="s">
        <v>66</v>
      </c>
      <c r="J184" s="2" t="s">
        <v>27</v>
      </c>
      <c r="K184" t="str">
        <f t="shared" si="8"/>
        <v>Non Match</v>
      </c>
    </row>
    <row r="185" spans="1:11" ht="21.75" thickBot="1">
      <c r="A185" s="3" t="str">
        <f>IF(SUMIFS('RAW DATA'!O:O,'RAW DATA'!D:D,'RAW DATA'!D185)&gt;5000,"High Value","Normal")</f>
        <v>Normal</v>
      </c>
      <c r="C185" s="11" t="s">
        <v>127</v>
      </c>
      <c r="D185" s="3">
        <f t="shared" si="6"/>
        <v>15</v>
      </c>
      <c r="F185" s="11" t="s">
        <v>109</v>
      </c>
      <c r="G185" s="3">
        <f t="shared" si="7"/>
        <v>6</v>
      </c>
      <c r="I185" s="2" t="s">
        <v>109</v>
      </c>
      <c r="J185" s="2" t="s">
        <v>36</v>
      </c>
      <c r="K185" t="str">
        <f t="shared" si="8"/>
        <v>Non Match</v>
      </c>
    </row>
    <row r="186" spans="1:11" ht="32.25" thickBot="1">
      <c r="A186" s="3" t="str">
        <f>IF(SUMIFS('RAW DATA'!O:O,'RAW DATA'!D:D,'RAW DATA'!D186)&gt;5000,"High Value","Normal")</f>
        <v>Normal</v>
      </c>
      <c r="C186" s="11" t="s">
        <v>18</v>
      </c>
      <c r="D186" s="3">
        <f t="shared" si="6"/>
        <v>26</v>
      </c>
      <c r="F186" s="11" t="s">
        <v>94</v>
      </c>
      <c r="G186" s="3">
        <f t="shared" si="7"/>
        <v>6</v>
      </c>
      <c r="I186" s="2" t="s">
        <v>94</v>
      </c>
      <c r="J186" s="2" t="s">
        <v>22</v>
      </c>
      <c r="K186" t="str">
        <f t="shared" si="8"/>
        <v>Non Match</v>
      </c>
    </row>
    <row r="187" spans="1:11" ht="21.75" thickBot="1">
      <c r="A187" s="3" t="str">
        <f>IF(SUMIFS('RAW DATA'!O:O,'RAW DATA'!D:D,'RAW DATA'!D187)&gt;5000,"High Value","Normal")</f>
        <v>Normal</v>
      </c>
      <c r="C187" s="11" t="s">
        <v>53</v>
      </c>
      <c r="D187" s="3">
        <f t="shared" si="6"/>
        <v>16</v>
      </c>
      <c r="F187" s="11" t="s">
        <v>139</v>
      </c>
      <c r="G187" s="3">
        <f t="shared" si="7"/>
        <v>6</v>
      </c>
      <c r="I187" s="2" t="s">
        <v>139</v>
      </c>
      <c r="J187" s="2" t="s">
        <v>36</v>
      </c>
      <c r="K187" t="str">
        <f t="shared" si="8"/>
        <v>Non Match</v>
      </c>
    </row>
    <row r="188" spans="1:11" ht="32.25" thickBot="1">
      <c r="A188" s="3" t="str">
        <f>IF(SUMIFS('RAW DATA'!O:O,'RAW DATA'!D:D,'RAW DATA'!D188)&gt;5000,"High Value","Normal")</f>
        <v>Normal</v>
      </c>
      <c r="C188" s="11" t="s">
        <v>81</v>
      </c>
      <c r="D188" s="3">
        <f t="shared" si="6"/>
        <v>31</v>
      </c>
      <c r="F188" s="11" t="s">
        <v>79</v>
      </c>
      <c r="G188" s="3">
        <f t="shared" si="7"/>
        <v>2</v>
      </c>
      <c r="I188" s="2" t="s">
        <v>79</v>
      </c>
      <c r="J188" s="2" t="s">
        <v>27</v>
      </c>
      <c r="K188" t="str">
        <f t="shared" si="8"/>
        <v>Non Match</v>
      </c>
    </row>
    <row r="189" spans="1:11" ht="32.25" thickBot="1">
      <c r="A189" s="3" t="str">
        <f>IF(SUMIFS('RAW DATA'!O:O,'RAW DATA'!D:D,'RAW DATA'!D189)&gt;5000,"High Value","Normal")</f>
        <v>Normal</v>
      </c>
      <c r="C189" s="11" t="s">
        <v>115</v>
      </c>
      <c r="D189" s="3">
        <f t="shared" si="6"/>
        <v>14</v>
      </c>
      <c r="F189" s="11" t="s">
        <v>294</v>
      </c>
      <c r="G189" s="3">
        <f t="shared" si="7"/>
        <v>4</v>
      </c>
      <c r="I189" s="2" t="s">
        <v>294</v>
      </c>
      <c r="J189" s="2" t="s">
        <v>22</v>
      </c>
      <c r="K189" t="str">
        <f t="shared" si="8"/>
        <v>Non Match</v>
      </c>
    </row>
    <row r="190" spans="1:11" ht="21.75" thickBot="1">
      <c r="A190" s="3" t="str">
        <f>IF(SUMIFS('RAW DATA'!O:O,'RAW DATA'!D:D,'RAW DATA'!D190)&gt;5000,"High Value","Normal")</f>
        <v>High Value</v>
      </c>
      <c r="C190" s="11" t="s">
        <v>106</v>
      </c>
      <c r="D190" s="3">
        <f t="shared" si="6"/>
        <v>26</v>
      </c>
      <c r="F190" s="11" t="s">
        <v>87</v>
      </c>
      <c r="G190" s="3">
        <f t="shared" si="7"/>
        <v>12</v>
      </c>
      <c r="I190" s="2" t="s">
        <v>87</v>
      </c>
      <c r="J190" s="2" t="s">
        <v>22</v>
      </c>
      <c r="K190" t="str">
        <f t="shared" si="8"/>
        <v>Non Match</v>
      </c>
    </row>
    <row r="191" spans="1:11" ht="32.25" thickBot="1">
      <c r="A191" s="3" t="str">
        <f>IF(SUMIFS('RAW DATA'!O:O,'RAW DATA'!D:D,'RAW DATA'!D191)&gt;5000,"High Value","Normal")</f>
        <v>High Value</v>
      </c>
      <c r="C191" s="11" t="s">
        <v>18</v>
      </c>
      <c r="D191" s="3">
        <f t="shared" si="6"/>
        <v>26</v>
      </c>
      <c r="F191" s="11" t="s">
        <v>159</v>
      </c>
      <c r="G191" s="3">
        <f t="shared" si="7"/>
        <v>5</v>
      </c>
      <c r="I191" s="2" t="s">
        <v>159</v>
      </c>
      <c r="J191" s="2" t="s">
        <v>27</v>
      </c>
      <c r="K191" t="str">
        <f t="shared" si="8"/>
        <v>Non Match</v>
      </c>
    </row>
    <row r="192" spans="1:11" ht="21.75" thickBot="1">
      <c r="A192" s="3" t="str">
        <f>IF(SUMIFS('RAW DATA'!O:O,'RAW DATA'!D:D,'RAW DATA'!D192)&gt;5000,"High Value","Normal")</f>
        <v>High Value</v>
      </c>
      <c r="C192" s="11" t="s">
        <v>53</v>
      </c>
      <c r="D192" s="3">
        <f t="shared" si="6"/>
        <v>16</v>
      </c>
      <c r="F192" s="11" t="s">
        <v>121</v>
      </c>
      <c r="G192" s="3">
        <f t="shared" si="7"/>
        <v>7</v>
      </c>
      <c r="I192" s="2" t="s">
        <v>121</v>
      </c>
      <c r="J192" s="2" t="s">
        <v>36</v>
      </c>
      <c r="K192" t="str">
        <f t="shared" si="8"/>
        <v>Non Match</v>
      </c>
    </row>
    <row r="193" spans="1:11" ht="32.25" thickBot="1">
      <c r="A193" s="3" t="str">
        <f>IF(SUMIFS('RAW DATA'!O:O,'RAW DATA'!D:D,'RAW DATA'!D193)&gt;5000,"High Value","Normal")</f>
        <v>High Value</v>
      </c>
      <c r="C193" s="11" t="s">
        <v>106</v>
      </c>
      <c r="D193" s="3">
        <f t="shared" si="6"/>
        <v>26</v>
      </c>
      <c r="F193" s="11" t="s">
        <v>235</v>
      </c>
      <c r="G193" s="3">
        <f t="shared" si="7"/>
        <v>5</v>
      </c>
      <c r="I193" s="2" t="s">
        <v>235</v>
      </c>
      <c r="J193" s="2" t="s">
        <v>22</v>
      </c>
      <c r="K193" t="str">
        <f t="shared" si="8"/>
        <v>Non Match</v>
      </c>
    </row>
    <row r="194" spans="1:11" ht="32.25" thickBot="1">
      <c r="A194" s="3" t="str">
        <f>IF(SUMIFS('RAW DATA'!O:O,'RAW DATA'!D:D,'RAW DATA'!D194)&gt;5000,"High Value","Normal")</f>
        <v>High Value</v>
      </c>
      <c r="C194" s="11" t="s">
        <v>127</v>
      </c>
      <c r="D194" s="3">
        <f t="shared" si="6"/>
        <v>15</v>
      </c>
      <c r="F194" s="11" t="s">
        <v>227</v>
      </c>
      <c r="G194" s="3">
        <f t="shared" si="7"/>
        <v>8</v>
      </c>
      <c r="I194" s="2" t="s">
        <v>227</v>
      </c>
      <c r="J194" s="2" t="s">
        <v>36</v>
      </c>
      <c r="K194" t="str">
        <f t="shared" si="8"/>
        <v>Non Match</v>
      </c>
    </row>
    <row r="195" spans="1:11" ht="21.75" thickBot="1">
      <c r="A195" s="3" t="str">
        <f>IF(SUMIFS('RAW DATA'!O:O,'RAW DATA'!D:D,'RAW DATA'!D195)&gt;5000,"High Value","Normal")</f>
        <v>Normal</v>
      </c>
      <c r="C195" s="11" t="s">
        <v>106</v>
      </c>
      <c r="D195" s="3">
        <f t="shared" ref="D195:D251" si="9">COUNTIF(C:C,C195)</f>
        <v>26</v>
      </c>
      <c r="F195" s="11" t="s">
        <v>212</v>
      </c>
      <c r="G195" s="3">
        <f t="shared" ref="G195:G251" si="10">COUNTIF(F:F,F195)</f>
        <v>4</v>
      </c>
      <c r="I195" s="2" t="s">
        <v>212</v>
      </c>
      <c r="J195" s="2" t="s">
        <v>22</v>
      </c>
      <c r="K195" t="str">
        <f t="shared" ref="K195:K251" si="11">IF(COUNTIF(J195:J444,I195)&gt;0,"Match","Non Match")</f>
        <v>Non Match</v>
      </c>
    </row>
    <row r="196" spans="1:11" ht="32.25" thickBot="1">
      <c r="A196" s="3" t="str">
        <f>IF(SUMIFS('RAW DATA'!O:O,'RAW DATA'!D:D,'RAW DATA'!D196)&gt;5000,"High Value","Normal")</f>
        <v>Normal</v>
      </c>
      <c r="C196" s="11" t="s">
        <v>45</v>
      </c>
      <c r="D196" s="3">
        <f t="shared" si="9"/>
        <v>35</v>
      </c>
      <c r="F196" s="11" t="s">
        <v>60</v>
      </c>
      <c r="G196" s="3">
        <f t="shared" si="10"/>
        <v>5</v>
      </c>
      <c r="I196" s="2" t="s">
        <v>60</v>
      </c>
      <c r="J196" s="2" t="s">
        <v>36</v>
      </c>
      <c r="K196" t="str">
        <f t="shared" si="11"/>
        <v>Non Match</v>
      </c>
    </row>
    <row r="197" spans="1:11" ht="21.75" thickBot="1">
      <c r="A197" s="3" t="str">
        <f>IF(SUMIFS('RAW DATA'!O:O,'RAW DATA'!D:D,'RAW DATA'!D197)&gt;5000,"High Value","Normal")</f>
        <v>Normal</v>
      </c>
      <c r="C197" s="11" t="s">
        <v>32</v>
      </c>
      <c r="D197" s="3">
        <f t="shared" si="9"/>
        <v>29</v>
      </c>
      <c r="F197" s="11" t="s">
        <v>130</v>
      </c>
      <c r="G197" s="3">
        <f t="shared" si="10"/>
        <v>5</v>
      </c>
      <c r="I197" s="2" t="s">
        <v>130</v>
      </c>
      <c r="J197" s="2" t="s">
        <v>22</v>
      </c>
      <c r="K197" t="str">
        <f t="shared" si="11"/>
        <v>Non Match</v>
      </c>
    </row>
    <row r="198" spans="1:11" ht="21.75" thickBot="1">
      <c r="A198" s="3" t="str">
        <f>IF(SUMIFS('RAW DATA'!O:O,'RAW DATA'!D:D,'RAW DATA'!D198)&gt;5000,"High Value","Normal")</f>
        <v>Normal</v>
      </c>
      <c r="C198" s="11" t="s">
        <v>32</v>
      </c>
      <c r="D198" s="3">
        <f t="shared" si="9"/>
        <v>29</v>
      </c>
      <c r="F198" s="11" t="s">
        <v>69</v>
      </c>
      <c r="G198" s="3">
        <f t="shared" si="10"/>
        <v>4</v>
      </c>
      <c r="I198" s="2" t="s">
        <v>69</v>
      </c>
      <c r="J198" s="2" t="s">
        <v>36</v>
      </c>
      <c r="K198" t="str">
        <f t="shared" si="11"/>
        <v>Non Match</v>
      </c>
    </row>
    <row r="199" spans="1:11" ht="32.25" thickBot="1">
      <c r="A199" s="3" t="str">
        <f>IF(SUMIFS('RAW DATA'!O:O,'RAW DATA'!D:D,'RAW DATA'!D199)&gt;5000,"High Value","Normal")</f>
        <v>High Value</v>
      </c>
      <c r="C199" s="11" t="s">
        <v>18</v>
      </c>
      <c r="D199" s="3">
        <f t="shared" si="9"/>
        <v>26</v>
      </c>
      <c r="F199" s="11" t="s">
        <v>49</v>
      </c>
      <c r="G199" s="3">
        <f t="shared" si="10"/>
        <v>6</v>
      </c>
      <c r="I199" s="2" t="s">
        <v>49</v>
      </c>
      <c r="J199" s="2" t="s">
        <v>27</v>
      </c>
      <c r="K199" t="str">
        <f t="shared" si="11"/>
        <v>Non Match</v>
      </c>
    </row>
    <row r="200" spans="1:11" ht="32.25" thickBot="1">
      <c r="A200" s="3" t="str">
        <f>IF(SUMIFS('RAW DATA'!O:O,'RAW DATA'!D:D,'RAW DATA'!D200)&gt;5000,"High Value","Normal")</f>
        <v>Normal</v>
      </c>
      <c r="C200" s="11" t="s">
        <v>62</v>
      </c>
      <c r="D200" s="3">
        <f t="shared" si="9"/>
        <v>24</v>
      </c>
      <c r="F200" s="11" t="s">
        <v>253</v>
      </c>
      <c r="G200" s="3">
        <f t="shared" si="10"/>
        <v>3</v>
      </c>
      <c r="I200" s="2" t="s">
        <v>253</v>
      </c>
      <c r="J200" s="2" t="s">
        <v>22</v>
      </c>
      <c r="K200" t="str">
        <f t="shared" si="11"/>
        <v>Non Match</v>
      </c>
    </row>
    <row r="201" spans="1:11" ht="21.75" thickBot="1">
      <c r="A201" s="3" t="str">
        <f>IF(SUMIFS('RAW DATA'!O:O,'RAW DATA'!D:D,'RAW DATA'!D201)&gt;5000,"High Value","Normal")</f>
        <v>High Value</v>
      </c>
      <c r="C201" s="11" t="s">
        <v>106</v>
      </c>
      <c r="D201" s="3">
        <f t="shared" si="9"/>
        <v>26</v>
      </c>
      <c r="F201" s="11" t="s">
        <v>87</v>
      </c>
      <c r="G201" s="3">
        <f t="shared" si="10"/>
        <v>12</v>
      </c>
      <c r="I201" s="2" t="s">
        <v>87</v>
      </c>
      <c r="J201" s="2" t="s">
        <v>36</v>
      </c>
      <c r="K201" t="str">
        <f t="shared" si="11"/>
        <v>Non Match</v>
      </c>
    </row>
    <row r="202" spans="1:11" ht="32.25" thickBot="1">
      <c r="A202" s="3" t="str">
        <f>IF(SUMIFS('RAW DATA'!O:O,'RAW DATA'!D:D,'RAW DATA'!D202)&gt;5000,"High Value","Normal")</f>
        <v>Normal</v>
      </c>
      <c r="C202" s="11" t="s">
        <v>81</v>
      </c>
      <c r="D202" s="3">
        <f t="shared" si="9"/>
        <v>31</v>
      </c>
      <c r="F202" s="11" t="s">
        <v>294</v>
      </c>
      <c r="G202" s="3">
        <f t="shared" si="10"/>
        <v>4</v>
      </c>
      <c r="I202" s="2" t="s">
        <v>294</v>
      </c>
      <c r="J202" s="2" t="s">
        <v>27</v>
      </c>
      <c r="K202" t="str">
        <f t="shared" si="11"/>
        <v>Non Match</v>
      </c>
    </row>
    <row r="203" spans="1:11" ht="21.75" thickBot="1">
      <c r="A203" s="3" t="str">
        <f>IF(SUMIFS('RAW DATA'!O:O,'RAW DATA'!D:D,'RAW DATA'!D203)&gt;5000,"High Value","Normal")</f>
        <v>High Value</v>
      </c>
      <c r="C203" s="11" t="s">
        <v>81</v>
      </c>
      <c r="D203" s="3">
        <f t="shared" si="9"/>
        <v>31</v>
      </c>
      <c r="F203" s="11" t="s">
        <v>66</v>
      </c>
      <c r="G203" s="3">
        <f t="shared" si="10"/>
        <v>8</v>
      </c>
      <c r="I203" s="2" t="s">
        <v>66</v>
      </c>
      <c r="J203" s="2" t="s">
        <v>27</v>
      </c>
      <c r="K203" t="str">
        <f t="shared" si="11"/>
        <v>Non Match</v>
      </c>
    </row>
    <row r="204" spans="1:11" ht="32.25" thickBot="1">
      <c r="A204" s="3" t="str">
        <f>IF(SUMIFS('RAW DATA'!O:O,'RAW DATA'!D:D,'RAW DATA'!D204)&gt;5000,"High Value","Normal")</f>
        <v>High Value</v>
      </c>
      <c r="C204" s="11" t="s">
        <v>118</v>
      </c>
      <c r="D204" s="3">
        <f t="shared" si="9"/>
        <v>34</v>
      </c>
      <c r="F204" s="11" t="s">
        <v>124</v>
      </c>
      <c r="G204" s="3">
        <f t="shared" si="10"/>
        <v>6</v>
      </c>
      <c r="I204" s="2" t="s">
        <v>124</v>
      </c>
      <c r="J204" s="2" t="s">
        <v>22</v>
      </c>
      <c r="K204" t="str">
        <f t="shared" si="11"/>
        <v>Non Match</v>
      </c>
    </row>
    <row r="205" spans="1:11" ht="32.25" thickBot="1">
      <c r="A205" s="3" t="str">
        <f>IF(SUMIFS('RAW DATA'!O:O,'RAW DATA'!D:D,'RAW DATA'!D205)&gt;5000,"High Value","Normal")</f>
        <v>High Value</v>
      </c>
      <c r="C205" s="11" t="s">
        <v>118</v>
      </c>
      <c r="D205" s="3">
        <f t="shared" si="9"/>
        <v>34</v>
      </c>
      <c r="F205" s="11" t="s">
        <v>43</v>
      </c>
      <c r="G205" s="3">
        <f t="shared" si="10"/>
        <v>9</v>
      </c>
      <c r="I205" s="2" t="s">
        <v>43</v>
      </c>
      <c r="J205" s="2" t="s">
        <v>27</v>
      </c>
      <c r="K205" t="str">
        <f t="shared" si="11"/>
        <v>Non Match</v>
      </c>
    </row>
    <row r="206" spans="1:11" ht="32.25" thickBot="1">
      <c r="A206" s="3" t="str">
        <f>IF(SUMIFS('RAW DATA'!O:O,'RAW DATA'!D:D,'RAW DATA'!D206)&gt;5000,"High Value","Normal")</f>
        <v>Normal</v>
      </c>
      <c r="C206" s="11" t="s">
        <v>32</v>
      </c>
      <c r="D206" s="3">
        <f t="shared" si="9"/>
        <v>29</v>
      </c>
      <c r="F206" s="11" t="s">
        <v>326</v>
      </c>
      <c r="G206" s="3">
        <f t="shared" si="10"/>
        <v>3</v>
      </c>
      <c r="I206" s="2" t="s">
        <v>326</v>
      </c>
      <c r="J206" s="2" t="s">
        <v>36</v>
      </c>
      <c r="K206" t="str">
        <f t="shared" si="11"/>
        <v>Non Match</v>
      </c>
    </row>
    <row r="207" spans="1:11" ht="21.75" thickBot="1">
      <c r="A207" s="3" t="str">
        <f>IF(SUMIFS('RAW DATA'!O:O,'RAW DATA'!D:D,'RAW DATA'!D207)&gt;5000,"High Value","Normal")</f>
        <v>Normal</v>
      </c>
      <c r="C207" s="11" t="s">
        <v>45</v>
      </c>
      <c r="D207" s="3">
        <f t="shared" si="9"/>
        <v>35</v>
      </c>
      <c r="F207" s="11" t="s">
        <v>247</v>
      </c>
      <c r="G207" s="3">
        <f t="shared" si="10"/>
        <v>3</v>
      </c>
      <c r="I207" s="2" t="s">
        <v>247</v>
      </c>
      <c r="J207" s="2" t="s">
        <v>27</v>
      </c>
      <c r="K207" t="str">
        <f t="shared" si="11"/>
        <v>Non Match</v>
      </c>
    </row>
    <row r="208" spans="1:11" ht="32.25" thickBot="1">
      <c r="A208" s="3" t="str">
        <f>IF(SUMIFS('RAW DATA'!O:O,'RAW DATA'!D:D,'RAW DATA'!D208)&gt;5000,"High Value","Normal")</f>
        <v>Normal</v>
      </c>
      <c r="C208" s="11" t="s">
        <v>106</v>
      </c>
      <c r="D208" s="3">
        <f t="shared" si="9"/>
        <v>26</v>
      </c>
      <c r="F208" s="11" t="s">
        <v>94</v>
      </c>
      <c r="G208" s="3">
        <f t="shared" si="10"/>
        <v>6</v>
      </c>
      <c r="I208" s="2" t="s">
        <v>94</v>
      </c>
      <c r="J208" s="2" t="s">
        <v>22</v>
      </c>
      <c r="K208" t="str">
        <f t="shared" si="11"/>
        <v>Non Match</v>
      </c>
    </row>
    <row r="209" spans="1:11" ht="21.75" thickBot="1">
      <c r="A209" s="3" t="str">
        <f>IF(SUMIFS('RAW DATA'!O:O,'RAW DATA'!D:D,'RAW DATA'!D209)&gt;5000,"High Value","Normal")</f>
        <v>High Value</v>
      </c>
      <c r="C209" s="11" t="s">
        <v>32</v>
      </c>
      <c r="D209" s="3">
        <f t="shared" si="9"/>
        <v>29</v>
      </c>
      <c r="F209" s="11" t="s">
        <v>151</v>
      </c>
      <c r="G209" s="3">
        <f t="shared" si="10"/>
        <v>6</v>
      </c>
      <c r="I209" s="2" t="s">
        <v>151</v>
      </c>
      <c r="J209" s="2" t="s">
        <v>36</v>
      </c>
      <c r="K209" t="str">
        <f t="shared" si="11"/>
        <v>Non Match</v>
      </c>
    </row>
    <row r="210" spans="1:11" ht="21.75" thickBot="1">
      <c r="A210" s="3" t="str">
        <f>IF(SUMIFS('RAW DATA'!O:O,'RAW DATA'!D:D,'RAW DATA'!D210)&gt;5000,"High Value","Normal")</f>
        <v>Normal</v>
      </c>
      <c r="C210" s="11" t="s">
        <v>115</v>
      </c>
      <c r="D210" s="3">
        <f t="shared" si="9"/>
        <v>14</v>
      </c>
      <c r="F210" s="11" t="s">
        <v>109</v>
      </c>
      <c r="G210" s="3">
        <f t="shared" si="10"/>
        <v>6</v>
      </c>
      <c r="I210" s="2" t="s">
        <v>109</v>
      </c>
      <c r="J210" s="2" t="s">
        <v>27</v>
      </c>
      <c r="K210" t="str">
        <f t="shared" si="11"/>
        <v>Non Match</v>
      </c>
    </row>
    <row r="211" spans="1:11" ht="21.75" thickBot="1">
      <c r="A211" s="3" t="str">
        <f>IF(SUMIFS('RAW DATA'!O:O,'RAW DATA'!D:D,'RAW DATA'!D211)&gt;5000,"High Value","Normal")</f>
        <v>Normal</v>
      </c>
      <c r="C211" s="11" t="s">
        <v>127</v>
      </c>
      <c r="D211" s="3">
        <f t="shared" si="9"/>
        <v>15</v>
      </c>
      <c r="F211" s="11" t="s">
        <v>30</v>
      </c>
      <c r="G211" s="3">
        <f t="shared" si="10"/>
        <v>6</v>
      </c>
      <c r="I211" s="2" t="s">
        <v>30</v>
      </c>
      <c r="J211" s="2" t="s">
        <v>22</v>
      </c>
      <c r="K211" t="str">
        <f t="shared" si="11"/>
        <v>Non Match</v>
      </c>
    </row>
    <row r="212" spans="1:11" ht="21.75" thickBot="1">
      <c r="A212" s="3" t="str">
        <f>IF(SUMIFS('RAW DATA'!O:O,'RAW DATA'!D:D,'RAW DATA'!D212)&gt;5000,"High Value","Normal")</f>
        <v>High Value</v>
      </c>
      <c r="C212" s="11" t="s">
        <v>118</v>
      </c>
      <c r="D212" s="3">
        <f t="shared" si="9"/>
        <v>34</v>
      </c>
      <c r="F212" s="11" t="s">
        <v>16</v>
      </c>
      <c r="G212" s="3">
        <f t="shared" si="10"/>
        <v>8</v>
      </c>
      <c r="I212" s="2" t="s">
        <v>16</v>
      </c>
      <c r="J212" s="2" t="s">
        <v>22</v>
      </c>
      <c r="K212" t="str">
        <f t="shared" si="11"/>
        <v>Non Match</v>
      </c>
    </row>
    <row r="213" spans="1:11" ht="21.75" thickBot="1">
      <c r="A213" s="3" t="str">
        <f>IF(SUMIFS('RAW DATA'!O:O,'RAW DATA'!D:D,'RAW DATA'!D213)&gt;5000,"High Value","Normal")</f>
        <v>Normal</v>
      </c>
      <c r="C213" s="11" t="s">
        <v>45</v>
      </c>
      <c r="D213" s="3">
        <f t="shared" si="9"/>
        <v>35</v>
      </c>
      <c r="F213" s="11" t="s">
        <v>260</v>
      </c>
      <c r="G213" s="3">
        <f t="shared" si="10"/>
        <v>3</v>
      </c>
      <c r="I213" s="2" t="s">
        <v>260</v>
      </c>
      <c r="J213" s="2" t="s">
        <v>27</v>
      </c>
      <c r="K213" t="str">
        <f t="shared" si="11"/>
        <v>Non Match</v>
      </c>
    </row>
    <row r="214" spans="1:11" ht="32.25" thickBot="1">
      <c r="A214" s="3" t="str">
        <f>IF(SUMIFS('RAW DATA'!O:O,'RAW DATA'!D:D,'RAW DATA'!D214)&gt;5000,"High Value","Normal")</f>
        <v>High Value</v>
      </c>
      <c r="C214" s="11" t="s">
        <v>81</v>
      </c>
      <c r="D214" s="3">
        <f t="shared" si="9"/>
        <v>31</v>
      </c>
      <c r="F214" s="11" t="s">
        <v>124</v>
      </c>
      <c r="G214" s="3">
        <f t="shared" si="10"/>
        <v>6</v>
      </c>
      <c r="I214" s="2" t="s">
        <v>124</v>
      </c>
      <c r="J214" s="2" t="s">
        <v>27</v>
      </c>
      <c r="K214" t="str">
        <f t="shared" si="11"/>
        <v>Non Match</v>
      </c>
    </row>
    <row r="215" spans="1:11" ht="32.25" thickBot="1">
      <c r="A215" s="3" t="str">
        <f>IF(SUMIFS('RAW DATA'!O:O,'RAW DATA'!D:D,'RAW DATA'!D215)&gt;5000,"High Value","Normal")</f>
        <v>High Value</v>
      </c>
      <c r="C215" s="11" t="s">
        <v>45</v>
      </c>
      <c r="D215" s="3">
        <f t="shared" si="9"/>
        <v>35</v>
      </c>
      <c r="F215" s="11" t="s">
        <v>43</v>
      </c>
      <c r="G215" s="3">
        <f t="shared" si="10"/>
        <v>9</v>
      </c>
      <c r="I215" s="2" t="s">
        <v>43</v>
      </c>
      <c r="J215" s="2" t="s">
        <v>36</v>
      </c>
      <c r="K215" t="str">
        <f t="shared" si="11"/>
        <v>Non Match</v>
      </c>
    </row>
    <row r="216" spans="1:11" ht="21.75" thickBot="1">
      <c r="A216" s="3" t="str">
        <f>IF(SUMIFS('RAW DATA'!O:O,'RAW DATA'!D:D,'RAW DATA'!D216)&gt;5000,"High Value","Normal")</f>
        <v>High Value</v>
      </c>
      <c r="C216" s="11" t="s">
        <v>62</v>
      </c>
      <c r="D216" s="3">
        <f t="shared" si="9"/>
        <v>24</v>
      </c>
      <c r="F216" s="11" t="s">
        <v>97</v>
      </c>
      <c r="G216" s="3">
        <f t="shared" si="10"/>
        <v>5</v>
      </c>
      <c r="I216" s="2" t="s">
        <v>97</v>
      </c>
      <c r="J216" s="2" t="s">
        <v>36</v>
      </c>
      <c r="K216" t="str">
        <f t="shared" si="11"/>
        <v>Non Match</v>
      </c>
    </row>
    <row r="217" spans="1:11" ht="21.75" thickBot="1">
      <c r="A217" s="3" t="str">
        <f>IF(SUMIFS('RAW DATA'!O:O,'RAW DATA'!D:D,'RAW DATA'!D217)&gt;5000,"High Value","Normal")</f>
        <v>Normal</v>
      </c>
      <c r="C217" s="11" t="s">
        <v>127</v>
      </c>
      <c r="D217" s="3">
        <f t="shared" si="9"/>
        <v>15</v>
      </c>
      <c r="F217" s="11" t="s">
        <v>193</v>
      </c>
      <c r="G217" s="3">
        <f t="shared" si="10"/>
        <v>5</v>
      </c>
      <c r="I217" s="2" t="s">
        <v>193</v>
      </c>
      <c r="J217" s="2" t="s">
        <v>27</v>
      </c>
      <c r="K217" t="str">
        <f t="shared" si="11"/>
        <v>Non Match</v>
      </c>
    </row>
    <row r="218" spans="1:11" ht="21.75" thickBot="1">
      <c r="A218" s="3" t="str">
        <f>IF(SUMIFS('RAW DATA'!O:O,'RAW DATA'!D:D,'RAW DATA'!D218)&gt;5000,"High Value","Normal")</f>
        <v>High Value</v>
      </c>
      <c r="C218" s="11" t="s">
        <v>106</v>
      </c>
      <c r="D218" s="3">
        <f t="shared" si="9"/>
        <v>26</v>
      </c>
      <c r="F218" s="11" t="s">
        <v>56</v>
      </c>
      <c r="G218" s="3">
        <f t="shared" si="10"/>
        <v>9</v>
      </c>
      <c r="I218" s="2" t="s">
        <v>56</v>
      </c>
      <c r="J218" s="2" t="s">
        <v>36</v>
      </c>
      <c r="K218" t="str">
        <f t="shared" si="11"/>
        <v>Non Match</v>
      </c>
    </row>
    <row r="219" spans="1:11" ht="21.75" thickBot="1">
      <c r="A219" s="3" t="str">
        <f>IF(SUMIFS('RAW DATA'!O:O,'RAW DATA'!D:D,'RAW DATA'!D219)&gt;5000,"High Value","Normal")</f>
        <v>High Value</v>
      </c>
      <c r="C219" s="11" t="s">
        <v>81</v>
      </c>
      <c r="D219" s="3">
        <f t="shared" si="9"/>
        <v>31</v>
      </c>
      <c r="F219" s="11" t="s">
        <v>151</v>
      </c>
      <c r="G219" s="3">
        <f t="shared" si="10"/>
        <v>6</v>
      </c>
      <c r="I219" s="2" t="s">
        <v>151</v>
      </c>
      <c r="J219" s="2" t="s">
        <v>22</v>
      </c>
      <c r="K219" t="str">
        <f t="shared" si="11"/>
        <v>Non Match</v>
      </c>
    </row>
    <row r="220" spans="1:11" ht="21.75" thickBot="1">
      <c r="A220" s="3" t="str">
        <f>IF(SUMIFS('RAW DATA'!O:O,'RAW DATA'!D:D,'RAW DATA'!D220)&gt;5000,"High Value","Normal")</f>
        <v>Normal</v>
      </c>
      <c r="C220" s="11" t="s">
        <v>81</v>
      </c>
      <c r="D220" s="3">
        <f t="shared" si="9"/>
        <v>31</v>
      </c>
      <c r="F220" s="11" t="s">
        <v>247</v>
      </c>
      <c r="G220" s="3">
        <f t="shared" si="10"/>
        <v>3</v>
      </c>
      <c r="I220" s="2" t="s">
        <v>247</v>
      </c>
      <c r="J220" s="2" t="s">
        <v>27</v>
      </c>
      <c r="K220" t="str">
        <f t="shared" si="11"/>
        <v>Non Match</v>
      </c>
    </row>
    <row r="221" spans="1:11" ht="32.25" thickBot="1">
      <c r="A221" s="3" t="str">
        <f>IF(SUMIFS('RAW DATA'!O:O,'RAW DATA'!D:D,'RAW DATA'!D221)&gt;5000,"High Value","Normal")</f>
        <v>Normal</v>
      </c>
      <c r="C221" s="11" t="s">
        <v>45</v>
      </c>
      <c r="D221" s="3">
        <f t="shared" si="9"/>
        <v>35</v>
      </c>
      <c r="F221" s="11" t="s">
        <v>326</v>
      </c>
      <c r="G221" s="3">
        <f t="shared" si="10"/>
        <v>3</v>
      </c>
      <c r="I221" s="2" t="s">
        <v>326</v>
      </c>
      <c r="J221" s="2" t="s">
        <v>27</v>
      </c>
      <c r="K221" t="str">
        <f t="shared" si="11"/>
        <v>Non Match</v>
      </c>
    </row>
    <row r="222" spans="1:11" ht="21.75" thickBot="1">
      <c r="A222" s="3" t="str">
        <f>IF(SUMIFS('RAW DATA'!O:O,'RAW DATA'!D:D,'RAW DATA'!D222)&gt;5000,"High Value","Normal")</f>
        <v>Normal</v>
      </c>
      <c r="C222" s="11" t="s">
        <v>118</v>
      </c>
      <c r="D222" s="3">
        <f t="shared" si="9"/>
        <v>34</v>
      </c>
      <c r="F222" s="11" t="s">
        <v>212</v>
      </c>
      <c r="G222" s="3">
        <f t="shared" si="10"/>
        <v>4</v>
      </c>
      <c r="I222" s="2" t="s">
        <v>212</v>
      </c>
      <c r="J222" s="2" t="s">
        <v>27</v>
      </c>
      <c r="K222" t="str">
        <f t="shared" si="11"/>
        <v>Non Match</v>
      </c>
    </row>
    <row r="223" spans="1:11" ht="21.75" thickBot="1">
      <c r="A223" s="3" t="str">
        <f>IF(SUMIFS('RAW DATA'!O:O,'RAW DATA'!D:D,'RAW DATA'!D223)&gt;5000,"High Value","Normal")</f>
        <v>Normal</v>
      </c>
      <c r="C223" s="11" t="s">
        <v>127</v>
      </c>
      <c r="D223" s="3">
        <f t="shared" si="9"/>
        <v>15</v>
      </c>
      <c r="F223" s="11" t="s">
        <v>139</v>
      </c>
      <c r="G223" s="3">
        <f t="shared" si="10"/>
        <v>6</v>
      </c>
      <c r="I223" s="2" t="s">
        <v>139</v>
      </c>
      <c r="J223" s="2" t="s">
        <v>27</v>
      </c>
      <c r="K223" t="str">
        <f t="shared" si="11"/>
        <v>Non Match</v>
      </c>
    </row>
    <row r="224" spans="1:11" ht="21.75" thickBot="1">
      <c r="A224" s="3" t="str">
        <f>IF(SUMIFS('RAW DATA'!O:O,'RAW DATA'!D:D,'RAW DATA'!D224)&gt;5000,"High Value","Normal")</f>
        <v>Normal</v>
      </c>
      <c r="C224" s="11" t="s">
        <v>32</v>
      </c>
      <c r="D224" s="3">
        <f t="shared" si="9"/>
        <v>29</v>
      </c>
      <c r="F224" s="11" t="s">
        <v>260</v>
      </c>
      <c r="G224" s="3">
        <f t="shared" si="10"/>
        <v>3</v>
      </c>
      <c r="I224" s="2" t="s">
        <v>260</v>
      </c>
      <c r="J224" s="2" t="s">
        <v>36</v>
      </c>
      <c r="K224" t="str">
        <f t="shared" si="11"/>
        <v>Non Match</v>
      </c>
    </row>
    <row r="225" spans="1:11" ht="32.25" thickBot="1">
      <c r="A225" s="3" t="str">
        <f>IF(SUMIFS('RAW DATA'!O:O,'RAW DATA'!D:D,'RAW DATA'!D225)&gt;5000,"High Value","Normal")</f>
        <v>Normal</v>
      </c>
      <c r="C225" s="11" t="s">
        <v>106</v>
      </c>
      <c r="D225" s="3">
        <f t="shared" si="9"/>
        <v>26</v>
      </c>
      <c r="F225" s="11" t="s">
        <v>94</v>
      </c>
      <c r="G225" s="3">
        <f t="shared" si="10"/>
        <v>6</v>
      </c>
      <c r="I225" s="2" t="s">
        <v>94</v>
      </c>
      <c r="J225" s="2" t="s">
        <v>22</v>
      </c>
      <c r="K225" t="str">
        <f t="shared" si="11"/>
        <v>Non Match</v>
      </c>
    </row>
    <row r="226" spans="1:11" ht="21.75" thickBot="1">
      <c r="A226" s="3" t="str">
        <f>IF(SUMIFS('RAW DATA'!O:O,'RAW DATA'!D:D,'RAW DATA'!D226)&gt;5000,"High Value","Normal")</f>
        <v>High Value</v>
      </c>
      <c r="C226" s="11" t="s">
        <v>45</v>
      </c>
      <c r="D226" s="3">
        <f t="shared" si="9"/>
        <v>35</v>
      </c>
      <c r="F226" s="11" t="s">
        <v>56</v>
      </c>
      <c r="G226" s="3">
        <f t="shared" si="10"/>
        <v>9</v>
      </c>
      <c r="I226" s="2" t="s">
        <v>56</v>
      </c>
      <c r="J226" s="2" t="s">
        <v>22</v>
      </c>
      <c r="K226" t="str">
        <f t="shared" si="11"/>
        <v>Non Match</v>
      </c>
    </row>
    <row r="227" spans="1:11" ht="32.25" thickBot="1">
      <c r="A227" s="3" t="str">
        <f>IF(SUMIFS('RAW DATA'!O:O,'RAW DATA'!D:D,'RAW DATA'!D227)&gt;5000,"High Value","Normal")</f>
        <v>High Value</v>
      </c>
      <c r="C227" s="11" t="s">
        <v>81</v>
      </c>
      <c r="D227" s="3">
        <f t="shared" si="9"/>
        <v>31</v>
      </c>
      <c r="F227" s="11" t="s">
        <v>227</v>
      </c>
      <c r="G227" s="3">
        <f t="shared" si="10"/>
        <v>8</v>
      </c>
      <c r="I227" s="2" t="s">
        <v>227</v>
      </c>
      <c r="J227" s="2" t="s">
        <v>27</v>
      </c>
      <c r="K227" t="str">
        <f t="shared" si="11"/>
        <v>Non Match</v>
      </c>
    </row>
    <row r="228" spans="1:11" ht="21.75" thickBot="1">
      <c r="A228" s="3" t="str">
        <f>IF(SUMIFS('RAW DATA'!O:O,'RAW DATA'!D:D,'RAW DATA'!D228)&gt;5000,"High Value","Normal")</f>
        <v>Normal</v>
      </c>
      <c r="C228" s="11" t="s">
        <v>32</v>
      </c>
      <c r="D228" s="3">
        <f t="shared" si="9"/>
        <v>29</v>
      </c>
      <c r="F228" s="11" t="s">
        <v>76</v>
      </c>
      <c r="G228" s="3">
        <f t="shared" si="10"/>
        <v>2</v>
      </c>
      <c r="I228" s="2" t="s">
        <v>76</v>
      </c>
      <c r="J228" s="2" t="s">
        <v>27</v>
      </c>
      <c r="K228" t="str">
        <f t="shared" si="11"/>
        <v>Non Match</v>
      </c>
    </row>
    <row r="229" spans="1:11" ht="21.75" thickBot="1">
      <c r="A229" s="3" t="str">
        <f>IF(SUMIFS('RAW DATA'!O:O,'RAW DATA'!D:D,'RAW DATA'!D229)&gt;5000,"High Value","Normal")</f>
        <v>High Value</v>
      </c>
      <c r="C229" s="11" t="s">
        <v>118</v>
      </c>
      <c r="D229" s="3">
        <f t="shared" si="9"/>
        <v>34</v>
      </c>
      <c r="F229" s="11" t="s">
        <v>16</v>
      </c>
      <c r="G229" s="3">
        <f t="shared" si="10"/>
        <v>8</v>
      </c>
      <c r="I229" s="2" t="s">
        <v>16</v>
      </c>
      <c r="J229" s="2" t="s">
        <v>27</v>
      </c>
      <c r="K229" t="str">
        <f t="shared" si="11"/>
        <v>Non Match</v>
      </c>
    </row>
    <row r="230" spans="1:11" ht="21.75" thickBot="1">
      <c r="A230" s="3" t="str">
        <f>IF(SUMIFS('RAW DATA'!O:O,'RAW DATA'!D:D,'RAW DATA'!D230)&gt;5000,"High Value","Normal")</f>
        <v>High Value</v>
      </c>
      <c r="C230" s="11" t="s">
        <v>18</v>
      </c>
      <c r="D230" s="3">
        <f t="shared" si="9"/>
        <v>26</v>
      </c>
      <c r="F230" s="11" t="s">
        <v>121</v>
      </c>
      <c r="G230" s="3">
        <f t="shared" si="10"/>
        <v>7</v>
      </c>
      <c r="I230" s="2" t="s">
        <v>121</v>
      </c>
      <c r="J230" s="2" t="s">
        <v>36</v>
      </c>
      <c r="K230" t="str">
        <f t="shared" si="11"/>
        <v>Non Match</v>
      </c>
    </row>
    <row r="231" spans="1:11" ht="32.25" thickBot="1">
      <c r="A231" s="3" t="str">
        <f>IF(SUMIFS('RAW DATA'!O:O,'RAW DATA'!D:D,'RAW DATA'!D231)&gt;5000,"High Value","Normal")</f>
        <v>High Value</v>
      </c>
      <c r="C231" s="11" t="s">
        <v>45</v>
      </c>
      <c r="D231" s="3">
        <f t="shared" si="9"/>
        <v>35</v>
      </c>
      <c r="F231" s="11" t="s">
        <v>227</v>
      </c>
      <c r="G231" s="3">
        <f t="shared" si="10"/>
        <v>8</v>
      </c>
      <c r="I231" s="2" t="s">
        <v>227</v>
      </c>
      <c r="J231" s="2" t="s">
        <v>27</v>
      </c>
      <c r="K231" t="str">
        <f t="shared" si="11"/>
        <v>Non Match</v>
      </c>
    </row>
    <row r="232" spans="1:11" ht="21.75" thickBot="1">
      <c r="A232" s="3" t="str">
        <f>IF(SUMIFS('RAW DATA'!O:O,'RAW DATA'!D:D,'RAW DATA'!D232)&gt;5000,"High Value","Normal")</f>
        <v>High Value</v>
      </c>
      <c r="C232" s="11" t="s">
        <v>62</v>
      </c>
      <c r="D232" s="3">
        <f t="shared" si="9"/>
        <v>24</v>
      </c>
      <c r="F232" s="11" t="s">
        <v>145</v>
      </c>
      <c r="G232" s="3">
        <f t="shared" si="10"/>
        <v>4</v>
      </c>
      <c r="I232" s="2" t="s">
        <v>145</v>
      </c>
      <c r="J232" s="2" t="s">
        <v>27</v>
      </c>
      <c r="K232" t="str">
        <f t="shared" si="11"/>
        <v>Non Match</v>
      </c>
    </row>
    <row r="233" spans="1:11" ht="21.75" thickBot="1">
      <c r="A233" s="3" t="str">
        <f>IF(SUMIFS('RAW DATA'!O:O,'RAW DATA'!D:D,'RAW DATA'!D233)&gt;5000,"High Value","Normal")</f>
        <v>High Value</v>
      </c>
      <c r="C233" s="11" t="s">
        <v>45</v>
      </c>
      <c r="D233" s="3">
        <f t="shared" si="9"/>
        <v>35</v>
      </c>
      <c r="F233" s="11" t="s">
        <v>56</v>
      </c>
      <c r="G233" s="3">
        <f t="shared" si="10"/>
        <v>9</v>
      </c>
      <c r="I233" s="2" t="s">
        <v>56</v>
      </c>
      <c r="J233" s="2" t="s">
        <v>36</v>
      </c>
      <c r="K233" t="str">
        <f t="shared" si="11"/>
        <v>Non Match</v>
      </c>
    </row>
    <row r="234" spans="1:11" ht="21.75" thickBot="1">
      <c r="A234" s="3" t="str">
        <f>IF(SUMIFS('RAW DATA'!O:O,'RAW DATA'!D:D,'RAW DATA'!D234)&gt;5000,"High Value","Normal")</f>
        <v>High Value</v>
      </c>
      <c r="C234" s="11" t="s">
        <v>18</v>
      </c>
      <c r="D234" s="3">
        <f t="shared" si="9"/>
        <v>26</v>
      </c>
      <c r="F234" s="11" t="s">
        <v>145</v>
      </c>
      <c r="G234" s="3">
        <f t="shared" si="10"/>
        <v>4</v>
      </c>
      <c r="I234" s="2" t="s">
        <v>145</v>
      </c>
      <c r="J234" s="2" t="s">
        <v>36</v>
      </c>
      <c r="K234" t="str">
        <f t="shared" si="11"/>
        <v>Non Match</v>
      </c>
    </row>
    <row r="235" spans="1:11" ht="21.75" thickBot="1">
      <c r="A235" s="3" t="str">
        <f>IF(SUMIFS('RAW DATA'!O:O,'RAW DATA'!D:D,'RAW DATA'!D235)&gt;5000,"High Value","Normal")</f>
        <v>Normal</v>
      </c>
      <c r="C235" s="11" t="s">
        <v>32</v>
      </c>
      <c r="D235" s="3">
        <f t="shared" si="9"/>
        <v>29</v>
      </c>
      <c r="F235" s="11" t="s">
        <v>193</v>
      </c>
      <c r="G235" s="3">
        <f t="shared" si="10"/>
        <v>5</v>
      </c>
      <c r="I235" s="2" t="s">
        <v>193</v>
      </c>
      <c r="J235" s="2" t="s">
        <v>22</v>
      </c>
      <c r="K235" t="str">
        <f t="shared" si="11"/>
        <v>Non Match</v>
      </c>
    </row>
    <row r="236" spans="1:11" ht="21.75" thickBot="1">
      <c r="A236" s="3" t="str">
        <f>IF(SUMIFS('RAW DATA'!O:O,'RAW DATA'!D:D,'RAW DATA'!D236)&gt;5000,"High Value","Normal")</f>
        <v>Normal</v>
      </c>
      <c r="C236" s="11" t="s">
        <v>45</v>
      </c>
      <c r="D236" s="3">
        <f t="shared" si="9"/>
        <v>35</v>
      </c>
      <c r="F236" s="11" t="s">
        <v>133</v>
      </c>
      <c r="G236" s="3">
        <f t="shared" si="10"/>
        <v>5</v>
      </c>
      <c r="I236" s="2" t="s">
        <v>133</v>
      </c>
      <c r="J236" s="2" t="s">
        <v>27</v>
      </c>
      <c r="K236" t="str">
        <f t="shared" si="11"/>
        <v>Non Match</v>
      </c>
    </row>
    <row r="237" spans="1:11" ht="21.75" thickBot="1">
      <c r="A237" s="3" t="str">
        <f>IF(SUMIFS('RAW DATA'!O:O,'RAW DATA'!D:D,'RAW DATA'!D237)&gt;5000,"High Value","Normal")</f>
        <v>High Value</v>
      </c>
      <c r="C237" s="11" t="s">
        <v>62</v>
      </c>
      <c r="D237" s="3">
        <f t="shared" si="9"/>
        <v>24</v>
      </c>
      <c r="F237" s="11" t="s">
        <v>151</v>
      </c>
      <c r="G237" s="3">
        <f t="shared" si="10"/>
        <v>6</v>
      </c>
      <c r="I237" s="2" t="s">
        <v>151</v>
      </c>
      <c r="J237" s="2" t="s">
        <v>27</v>
      </c>
      <c r="K237" t="str">
        <f t="shared" si="11"/>
        <v>Non Match</v>
      </c>
    </row>
    <row r="238" spans="1:11" ht="32.25" thickBot="1">
      <c r="A238" s="3" t="str">
        <f>IF(SUMIFS('RAW DATA'!O:O,'RAW DATA'!D:D,'RAW DATA'!D238)&gt;5000,"High Value","Normal")</f>
        <v>High Value</v>
      </c>
      <c r="C238" s="11" t="s">
        <v>62</v>
      </c>
      <c r="D238" s="3">
        <f t="shared" si="9"/>
        <v>24</v>
      </c>
      <c r="F238" s="11" t="s">
        <v>49</v>
      </c>
      <c r="G238" s="3">
        <f t="shared" si="10"/>
        <v>6</v>
      </c>
      <c r="I238" s="2" t="s">
        <v>49</v>
      </c>
      <c r="J238" s="2" t="s">
        <v>22</v>
      </c>
      <c r="K238" t="str">
        <f t="shared" si="11"/>
        <v>Non Match</v>
      </c>
    </row>
    <row r="239" spans="1:11" ht="21.75" thickBot="1">
      <c r="A239" s="3" t="str">
        <f>IF(SUMIFS('RAW DATA'!O:O,'RAW DATA'!D:D,'RAW DATA'!D239)&gt;5000,"High Value","Normal")</f>
        <v>High Value</v>
      </c>
      <c r="C239" s="11" t="s">
        <v>106</v>
      </c>
      <c r="D239" s="3">
        <f t="shared" si="9"/>
        <v>26</v>
      </c>
      <c r="F239" s="11" t="s">
        <v>16</v>
      </c>
      <c r="G239" s="3">
        <f t="shared" si="10"/>
        <v>8</v>
      </c>
      <c r="I239" s="2" t="s">
        <v>16</v>
      </c>
      <c r="J239" s="2" t="s">
        <v>27</v>
      </c>
      <c r="K239" t="str">
        <f t="shared" si="11"/>
        <v>Non Match</v>
      </c>
    </row>
    <row r="240" spans="1:11" ht="21.75" thickBot="1">
      <c r="A240" s="3" t="str">
        <f>IF(SUMIFS('RAW DATA'!O:O,'RAW DATA'!D:D,'RAW DATA'!D240)&gt;5000,"High Value","Normal")</f>
        <v>Normal</v>
      </c>
      <c r="C240" s="11" t="s">
        <v>45</v>
      </c>
      <c r="D240" s="3">
        <f t="shared" si="9"/>
        <v>35</v>
      </c>
      <c r="F240" s="11" t="s">
        <v>387</v>
      </c>
      <c r="G240" s="3">
        <f t="shared" si="10"/>
        <v>1</v>
      </c>
      <c r="I240" s="2" t="s">
        <v>387</v>
      </c>
      <c r="J240" s="2" t="s">
        <v>36</v>
      </c>
      <c r="K240" t="str">
        <f t="shared" si="11"/>
        <v>Non Match</v>
      </c>
    </row>
    <row r="241" spans="1:11" ht="21.75" thickBot="1">
      <c r="A241" s="3" t="str">
        <f>IF(SUMIFS('RAW DATA'!O:O,'RAW DATA'!D:D,'RAW DATA'!D241)&gt;5000,"High Value","Normal")</f>
        <v>Normal</v>
      </c>
      <c r="C241" s="11" t="s">
        <v>115</v>
      </c>
      <c r="D241" s="3">
        <f t="shared" si="9"/>
        <v>14</v>
      </c>
      <c r="F241" s="11" t="s">
        <v>103</v>
      </c>
      <c r="G241" s="3">
        <f t="shared" si="10"/>
        <v>5</v>
      </c>
      <c r="I241" s="2" t="s">
        <v>103</v>
      </c>
      <c r="J241" s="2" t="s">
        <v>22</v>
      </c>
      <c r="K241" t="str">
        <f t="shared" si="11"/>
        <v>Non Match</v>
      </c>
    </row>
    <row r="242" spans="1:11" ht="32.25" thickBot="1">
      <c r="A242" s="3" t="str">
        <f>IF(SUMIFS('RAW DATA'!O:O,'RAW DATA'!D:D,'RAW DATA'!D242)&gt;5000,"High Value","Normal")</f>
        <v>Normal</v>
      </c>
      <c r="C242" s="11" t="s">
        <v>118</v>
      </c>
      <c r="D242" s="3">
        <f t="shared" si="9"/>
        <v>34</v>
      </c>
      <c r="F242" s="11" t="s">
        <v>186</v>
      </c>
      <c r="G242" s="3">
        <f t="shared" si="10"/>
        <v>4</v>
      </c>
      <c r="I242" s="2" t="s">
        <v>186</v>
      </c>
      <c r="J242" s="2" t="s">
        <v>22</v>
      </c>
      <c r="K242" t="str">
        <f t="shared" si="11"/>
        <v>Non Match</v>
      </c>
    </row>
    <row r="243" spans="1:11" ht="32.25" thickBot="1">
      <c r="A243" s="3" t="str">
        <f>IF(SUMIFS('RAW DATA'!O:O,'RAW DATA'!D:D,'RAW DATA'!D243)&gt;5000,"High Value","Normal")</f>
        <v>Normal</v>
      </c>
      <c r="C243" s="11" t="s">
        <v>45</v>
      </c>
      <c r="D243" s="3">
        <f t="shared" si="9"/>
        <v>35</v>
      </c>
      <c r="F243" s="11" t="s">
        <v>94</v>
      </c>
      <c r="G243" s="3">
        <f t="shared" si="10"/>
        <v>6</v>
      </c>
      <c r="I243" s="2" t="s">
        <v>94</v>
      </c>
      <c r="J243" s="2" t="s">
        <v>36</v>
      </c>
      <c r="K243" t="str">
        <f t="shared" si="11"/>
        <v>Non Match</v>
      </c>
    </row>
    <row r="244" spans="1:11" ht="21.75" thickBot="1">
      <c r="A244" s="3" t="str">
        <f>IF(SUMIFS('RAW DATA'!O:O,'RAW DATA'!D:D,'RAW DATA'!D244)&gt;5000,"High Value","Normal")</f>
        <v>High Value</v>
      </c>
      <c r="C244" s="11" t="s">
        <v>118</v>
      </c>
      <c r="D244" s="3">
        <f t="shared" si="9"/>
        <v>34</v>
      </c>
      <c r="F244" s="11" t="s">
        <v>66</v>
      </c>
      <c r="G244" s="3">
        <f t="shared" si="10"/>
        <v>8</v>
      </c>
      <c r="I244" s="2" t="s">
        <v>66</v>
      </c>
      <c r="J244" s="2" t="s">
        <v>27</v>
      </c>
      <c r="K244" t="str">
        <f t="shared" si="11"/>
        <v>Non Match</v>
      </c>
    </row>
    <row r="245" spans="1:11" ht="21.75" thickBot="1">
      <c r="A245" s="3" t="str">
        <f>IF(SUMIFS('RAW DATA'!O:O,'RAW DATA'!D:D,'RAW DATA'!D245)&gt;5000,"High Value","Normal")</f>
        <v>Normal</v>
      </c>
      <c r="C245" s="11" t="s">
        <v>81</v>
      </c>
      <c r="D245" s="3">
        <f t="shared" si="9"/>
        <v>31</v>
      </c>
      <c r="F245" s="11" t="s">
        <v>103</v>
      </c>
      <c r="G245" s="3">
        <f t="shared" si="10"/>
        <v>5</v>
      </c>
      <c r="I245" s="2" t="s">
        <v>103</v>
      </c>
      <c r="J245" s="2" t="s">
        <v>36</v>
      </c>
      <c r="K245" t="str">
        <f t="shared" si="11"/>
        <v>Non Match</v>
      </c>
    </row>
    <row r="246" spans="1:11" ht="32.25" thickBot="1">
      <c r="A246" s="3" t="str">
        <f>IF(SUMIFS('RAW DATA'!O:O,'RAW DATA'!D:D,'RAW DATA'!D246)&gt;5000,"High Value","Normal")</f>
        <v>High Value</v>
      </c>
      <c r="C246" s="11" t="s">
        <v>62</v>
      </c>
      <c r="D246" s="3">
        <f t="shared" si="9"/>
        <v>24</v>
      </c>
      <c r="F246" s="11" t="s">
        <v>124</v>
      </c>
      <c r="G246" s="3">
        <f t="shared" si="10"/>
        <v>6</v>
      </c>
      <c r="I246" s="2" t="s">
        <v>124</v>
      </c>
      <c r="J246" s="2" t="s">
        <v>36</v>
      </c>
      <c r="K246" t="str">
        <f t="shared" si="11"/>
        <v>Non Match</v>
      </c>
    </row>
    <row r="247" spans="1:11" ht="32.25" thickBot="1">
      <c r="A247" s="3" t="str">
        <f>IF(SUMIFS('RAW DATA'!O:O,'RAW DATA'!D:D,'RAW DATA'!D247)&gt;5000,"High Value","Normal")</f>
        <v>Normal</v>
      </c>
      <c r="C247" s="11" t="s">
        <v>115</v>
      </c>
      <c r="D247" s="3">
        <f t="shared" si="9"/>
        <v>14</v>
      </c>
      <c r="F247" s="11" t="s">
        <v>94</v>
      </c>
      <c r="G247" s="3">
        <f t="shared" si="10"/>
        <v>6</v>
      </c>
      <c r="I247" s="2" t="s">
        <v>94</v>
      </c>
      <c r="J247" s="2" t="s">
        <v>22</v>
      </c>
      <c r="K247" t="str">
        <f t="shared" si="11"/>
        <v>Non Match</v>
      </c>
    </row>
    <row r="248" spans="1:11" ht="32.25" thickBot="1">
      <c r="A248" s="3" t="str">
        <f>IF(SUMIFS('RAW DATA'!O:O,'RAW DATA'!D:D,'RAW DATA'!D248)&gt;5000,"High Value","Normal")</f>
        <v>Normal</v>
      </c>
      <c r="C248" s="11" t="s">
        <v>118</v>
      </c>
      <c r="D248" s="3">
        <f t="shared" si="9"/>
        <v>34</v>
      </c>
      <c r="F248" s="11" t="s">
        <v>60</v>
      </c>
      <c r="G248" s="3">
        <f t="shared" si="10"/>
        <v>5</v>
      </c>
      <c r="I248" s="2" t="s">
        <v>60</v>
      </c>
      <c r="J248" s="2" t="s">
        <v>22</v>
      </c>
      <c r="K248" t="str">
        <f t="shared" si="11"/>
        <v>Non Match</v>
      </c>
    </row>
    <row r="249" spans="1:11" ht="32.25" thickBot="1">
      <c r="A249" s="3" t="str">
        <f>IF(SUMIFS('RAW DATA'!O:O,'RAW DATA'!D:D,'RAW DATA'!D249)&gt;5000,"High Value","Normal")</f>
        <v>Normal</v>
      </c>
      <c r="C249" s="11" t="s">
        <v>81</v>
      </c>
      <c r="D249" s="3">
        <f t="shared" si="9"/>
        <v>31</v>
      </c>
      <c r="F249" s="11" t="s">
        <v>294</v>
      </c>
      <c r="G249" s="3">
        <f t="shared" si="10"/>
        <v>4</v>
      </c>
      <c r="I249" s="2" t="s">
        <v>294</v>
      </c>
      <c r="J249" s="2" t="s">
        <v>22</v>
      </c>
      <c r="K249" t="str">
        <f t="shared" si="11"/>
        <v>Non Match</v>
      </c>
    </row>
    <row r="250" spans="1:11" ht="32.25" thickBot="1">
      <c r="A250" s="3" t="str">
        <f>IF(SUMIFS('RAW DATA'!O:O,'RAW DATA'!D:D,'RAW DATA'!D250)&gt;5000,"High Value","Normal")</f>
        <v>High Value</v>
      </c>
      <c r="C250" s="11" t="s">
        <v>118</v>
      </c>
      <c r="D250" s="3">
        <f t="shared" si="9"/>
        <v>34</v>
      </c>
      <c r="F250" s="11" t="s">
        <v>227</v>
      </c>
      <c r="G250" s="3">
        <f t="shared" si="10"/>
        <v>8</v>
      </c>
      <c r="I250" s="2" t="s">
        <v>227</v>
      </c>
      <c r="J250" s="2" t="s">
        <v>22</v>
      </c>
      <c r="K250" t="str">
        <f t="shared" si="11"/>
        <v>Non Match</v>
      </c>
    </row>
    <row r="251" spans="1:11" ht="21.75" thickBot="1">
      <c r="A251" s="3" t="str">
        <f>IF(SUMIFS('RAW DATA'!O:O,'RAW DATA'!D:D,'RAW DATA'!D251)&gt;5000,"High Value","Normal")</f>
        <v>Normal</v>
      </c>
      <c r="C251" s="11" t="s">
        <v>118</v>
      </c>
      <c r="D251" s="3">
        <f t="shared" si="9"/>
        <v>34</v>
      </c>
      <c r="F251" s="11" t="s">
        <v>139</v>
      </c>
      <c r="G251" s="3">
        <f t="shared" si="10"/>
        <v>6</v>
      </c>
      <c r="I251" s="2" t="s">
        <v>139</v>
      </c>
      <c r="J251" s="2" t="s">
        <v>27</v>
      </c>
      <c r="K251" t="str">
        <f t="shared" si="11"/>
        <v>Non Match</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DCADD4-70A5-4EEF-BC49-4A74068D970C}">
  <dimension ref="A4:E26"/>
  <sheetViews>
    <sheetView showGridLines="0" zoomScale="87" zoomScaleNormal="87" workbookViewId="0">
      <selection activeCell="N4" sqref="M2:N15"/>
    </sheetView>
  </sheetViews>
  <sheetFormatPr defaultRowHeight="21"/>
  <cols>
    <col min="1" max="1" width="11.90625" bestFit="1" customWidth="1"/>
    <col min="2" max="2" width="19" bestFit="1" customWidth="1"/>
    <col min="4" max="4" width="11.90625" bestFit="1" customWidth="1"/>
    <col min="5" max="5" width="19" bestFit="1" customWidth="1"/>
    <col min="7" max="8" width="19" bestFit="1" customWidth="1"/>
    <col min="10" max="10" width="11.1796875" bestFit="1" customWidth="1"/>
    <col min="11" max="11" width="18.1796875" bestFit="1" customWidth="1"/>
    <col min="13" max="13" width="11.90625" bestFit="1" customWidth="1"/>
    <col min="14" max="14" width="19" bestFit="1" customWidth="1"/>
  </cols>
  <sheetData>
    <row r="4" spans="1:5">
      <c r="A4" s="13" t="s">
        <v>434</v>
      </c>
      <c r="B4" t="s">
        <v>436</v>
      </c>
      <c r="D4" s="13" t="s">
        <v>434</v>
      </c>
      <c r="E4" t="s">
        <v>436</v>
      </c>
    </row>
    <row r="5" spans="1:5">
      <c r="A5" s="14" t="s">
        <v>21</v>
      </c>
      <c r="B5" s="7">
        <v>41288.340000000018</v>
      </c>
      <c r="D5" s="14" t="s">
        <v>33</v>
      </c>
      <c r="E5" s="7">
        <v>8338.7399999999961</v>
      </c>
    </row>
    <row r="6" spans="1:5">
      <c r="A6" s="14" t="s">
        <v>63</v>
      </c>
      <c r="B6" s="7">
        <v>59288.389999999992</v>
      </c>
      <c r="D6" s="14" t="s">
        <v>19</v>
      </c>
      <c r="E6" s="7">
        <v>171756.05000000013</v>
      </c>
    </row>
    <row r="7" spans="1:5">
      <c r="A7" s="14" t="s">
        <v>40</v>
      </c>
      <c r="B7" s="7">
        <v>50808.310000000012</v>
      </c>
      <c r="D7" s="14" t="s">
        <v>46</v>
      </c>
      <c r="E7" s="7">
        <v>49097.680000000015</v>
      </c>
    </row>
    <row r="8" spans="1:5">
      <c r="A8" s="14" t="s">
        <v>35</v>
      </c>
      <c r="B8" s="7">
        <v>36398.750000000007</v>
      </c>
      <c r="D8" s="14" t="s">
        <v>435</v>
      </c>
      <c r="E8" s="7">
        <v>229192.47000000015</v>
      </c>
    </row>
    <row r="9" spans="1:5">
      <c r="A9" s="14" t="s">
        <v>50</v>
      </c>
      <c r="B9" s="7">
        <v>41408.680000000015</v>
      </c>
    </row>
    <row r="10" spans="1:5">
      <c r="A10" s="14" t="s">
        <v>435</v>
      </c>
      <c r="B10" s="7">
        <v>229192.47000000006</v>
      </c>
    </row>
    <row r="13" spans="1:5">
      <c r="A13" s="13" t="s">
        <v>434</v>
      </c>
      <c r="B13" t="s">
        <v>436</v>
      </c>
      <c r="D13" s="13" t="s">
        <v>434</v>
      </c>
      <c r="E13" t="s">
        <v>436</v>
      </c>
    </row>
    <row r="14" spans="1:5">
      <c r="A14" s="14" t="s">
        <v>20</v>
      </c>
      <c r="B14" s="7">
        <v>57427.790000000023</v>
      </c>
      <c r="D14" s="14" t="s">
        <v>446</v>
      </c>
      <c r="E14" s="7">
        <v>25799.15</v>
      </c>
    </row>
    <row r="15" spans="1:5">
      <c r="A15" s="14" t="s">
        <v>26</v>
      </c>
      <c r="B15" s="7">
        <v>61447.960000000014</v>
      </c>
      <c r="D15" s="14" t="s">
        <v>447</v>
      </c>
      <c r="E15" s="7">
        <v>16069.379999999997</v>
      </c>
    </row>
    <row r="16" spans="1:5">
      <c r="A16" s="14" t="s">
        <v>57</v>
      </c>
      <c r="B16" s="7">
        <v>52118.310000000005</v>
      </c>
      <c r="D16" s="14" t="s">
        <v>448</v>
      </c>
      <c r="E16" s="7">
        <v>19899.379999999997</v>
      </c>
    </row>
    <row r="17" spans="1:5">
      <c r="A17" s="14" t="s">
        <v>34</v>
      </c>
      <c r="B17" s="7">
        <v>58198.409999999996</v>
      </c>
      <c r="D17" s="14" t="s">
        <v>449</v>
      </c>
      <c r="E17" s="7">
        <v>27899.160000000007</v>
      </c>
    </row>
    <row r="18" spans="1:5">
      <c r="A18" s="14" t="s">
        <v>435</v>
      </c>
      <c r="B18" s="7">
        <v>229192.47000000003</v>
      </c>
      <c r="D18" s="14" t="s">
        <v>450</v>
      </c>
      <c r="E18" s="7">
        <v>17039.349999999999</v>
      </c>
    </row>
    <row r="19" spans="1:5">
      <c r="D19" s="14" t="s">
        <v>445</v>
      </c>
      <c r="E19" s="7">
        <v>19299.45</v>
      </c>
    </row>
    <row r="20" spans="1:5">
      <c r="D20" s="14" t="s">
        <v>438</v>
      </c>
      <c r="E20" s="7">
        <v>18479.399999999994</v>
      </c>
    </row>
    <row r="21" spans="1:5">
      <c r="D21" s="14" t="s">
        <v>439</v>
      </c>
      <c r="E21" s="7">
        <v>15759.429999999997</v>
      </c>
    </row>
    <row r="22" spans="1:5">
      <c r="D22" s="14" t="s">
        <v>440</v>
      </c>
      <c r="E22" s="7">
        <v>12989.509999999997</v>
      </c>
    </row>
    <row r="23" spans="1:5">
      <c r="D23" s="14" t="s">
        <v>441</v>
      </c>
      <c r="E23" s="7">
        <v>20609.52</v>
      </c>
    </row>
    <row r="24" spans="1:5">
      <c r="D24" s="14" t="s">
        <v>451</v>
      </c>
      <c r="E24" s="7">
        <v>12309.439999999999</v>
      </c>
    </row>
    <row r="25" spans="1:5">
      <c r="D25" s="14" t="s">
        <v>452</v>
      </c>
      <c r="E25" s="7">
        <v>23039.3</v>
      </c>
    </row>
    <row r="26" spans="1:5">
      <c r="D26" s="14" t="s">
        <v>435</v>
      </c>
      <c r="E26" s="7">
        <v>229192.47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INSIGHTS &amp; STORYTELLING</vt:lpstr>
      <vt:lpstr>SALES DASHBOARD</vt:lpstr>
      <vt:lpstr>RAW DATA</vt:lpstr>
      <vt:lpstr>SALES ANALYSIS</vt:lpstr>
      <vt:lpstr>REGRESSION ANALYSIS</vt:lpstr>
      <vt:lpstr>PRODUCTS &amp; CUSTOMERS</vt:lpstr>
      <vt:lpstr>PIVOT 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KASIM ATTIA</dc:creator>
  <cp:lastModifiedBy>KASIM ATTIA</cp:lastModifiedBy>
  <dcterms:created xsi:type="dcterms:W3CDTF">2026-03-11T14:42:57Z</dcterms:created>
  <dcterms:modified xsi:type="dcterms:W3CDTF">2026-05-12T17:50:14Z</dcterms:modified>
</cp:coreProperties>
</file>